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883692B-6FDA-4208-942F-2F2E1C4B3902}" xr6:coauthVersionLast="47" xr6:coauthVersionMax="47" xr10:uidLastSave="{00000000-0000-0000-0000-000000000000}"/>
  <bookViews>
    <workbookView xWindow="-108" yWindow="-108" windowWidth="23256" windowHeight="12576" tabRatio="892" firstSheet="5" activeTab="13" xr2:uid="{C3E3D336-936E-40C9-A3D3-D81F536D4628}"/>
  </bookViews>
  <sheets>
    <sheet name="1. Objective Requirement" sheetId="1" r:id="rId1"/>
    <sheet name="Swiggy_Orders_Data" sheetId="4" r:id="rId2"/>
    <sheet name="Restaurant Area Correction" sheetId="11" r:id="rId3"/>
    <sheet name="Food Item Level Data" sheetId="5" r:id="rId4"/>
    <sheet name="Restaurant Level Analysis" sheetId="13" r:id="rId5"/>
    <sheet name="Area Level Analysis" sheetId="12" r:id="rId6"/>
    <sheet name="Monthly Expenditure" sheetId="8" r:id="rId7"/>
    <sheet name="Food Items Analysis" sheetId="10" r:id="rId8"/>
    <sheet name="KPIs" sheetId="16" r:id="rId9"/>
    <sheet name="Dashboard" sheetId="7" r:id="rId10"/>
    <sheet name="Insights" sheetId="18" r:id="rId11"/>
    <sheet name="SQL_Monthly_Orders" sheetId="19" r:id="rId12"/>
    <sheet name="SQL_Monthly_Revenue" sheetId="20" r:id="rId13"/>
    <sheet name="SQL_Top_Restaurants" sheetId="21" r:id="rId14"/>
  </sheets>
  <definedNames>
    <definedName name="_xlnm._FilterDatabase" localSheetId="7" hidden="1">'Food Items Analysis'!#REF!</definedName>
    <definedName name="_xlnm._FilterDatabase" localSheetId="4" hidden="1">'Restaurant Level Analysis'!#REF!</definedName>
    <definedName name="_xlnm._FilterDatabase" localSheetId="1" hidden="1">Swiggy_Orders_Data!$A$1:$AE$108</definedName>
    <definedName name="_xlcn.WorksheetConnection_Table31" hidden="1">Table3[]</definedName>
  </definedNames>
  <calcPr calcId="191029"/>
  <pivotCaches>
    <pivotCache cacheId="3" r:id="rId15"/>
    <pivotCache cacheId="4" r:id="rId16"/>
    <pivotCache cacheId="5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wiggy_Orders_Data_210aeab0-9d5a-4588-b0a4-0c01e7cbadb7" name="Swiggy_Orders_Data" connection="Query - Swiggy_Orders_Data"/>
          <x15:modelTable id="Food Item Level Data_7a2bc8e7-d7b7-4cc6-b41c-699422dcebf5" name="Food Item Level Data" connection="Query - Food Item Level Data"/>
          <x15:modelTable id="Table3" name="Table3" connection="WorksheetConnection_Table3"/>
        </x15:modelTables>
        <x15:modelRelationships>
          <x15:modelRelationship fromTable="Food Item Level Data" fromColumn="order_id" toTable="Swiggy_Orders_Data" toColumn="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6" l="1"/>
  <c r="B74" i="7" l="1"/>
  <c r="A74" i="7"/>
  <c r="C21" i="16"/>
  <c r="I5" i="7" s="1"/>
  <c r="C19" i="16"/>
  <c r="C5" i="7" s="1"/>
  <c r="C18" i="16"/>
  <c r="A5" i="7" s="1"/>
  <c r="C17" i="16"/>
  <c r="B5" i="7" s="1"/>
  <c r="C16" i="16"/>
  <c r="B2" i="10"/>
  <c r="F5" i="7"/>
  <c r="A2" i="13" a="1"/>
  <c r="A2" i="13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2" i="5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2" i="4"/>
  <c r="B2" i="13" l="1"/>
  <c r="B41" i="13"/>
  <c r="B37" i="13"/>
  <c r="B33" i="13"/>
  <c r="B29" i="13"/>
  <c r="B25" i="13"/>
  <c r="B21" i="13"/>
  <c r="B17" i="13"/>
  <c r="B13" i="13"/>
  <c r="B9" i="13"/>
  <c r="B5" i="13"/>
  <c r="B44" i="13"/>
  <c r="B40" i="13"/>
  <c r="B36" i="13"/>
  <c r="B32" i="13"/>
  <c r="B28" i="13"/>
  <c r="B24" i="13"/>
  <c r="B20" i="13"/>
  <c r="B16" i="13"/>
  <c r="B12" i="13"/>
  <c r="B8" i="13"/>
  <c r="B4" i="13"/>
  <c r="B43" i="13"/>
  <c r="B39" i="13"/>
  <c r="B35" i="13"/>
  <c r="B31" i="13"/>
  <c r="B27" i="13"/>
  <c r="B23" i="13"/>
  <c r="B19" i="13"/>
  <c r="B15" i="13"/>
  <c r="B11" i="13"/>
  <c r="B7" i="13"/>
  <c r="B3" i="13"/>
  <c r="B42" i="13"/>
  <c r="B38" i="13"/>
  <c r="B34" i="13"/>
  <c r="B30" i="13"/>
  <c r="B26" i="13"/>
  <c r="B22" i="13"/>
  <c r="B18" i="13"/>
  <c r="B14" i="13"/>
  <c r="B10" i="13"/>
  <c r="B6" i="13"/>
  <c r="C6" i="13" l="1"/>
  <c r="C38" i="13"/>
  <c r="C43" i="13"/>
  <c r="C5" i="13"/>
  <c r="C37" i="13"/>
  <c r="C10" i="13"/>
  <c r="C26" i="13"/>
  <c r="C42" i="13"/>
  <c r="C15" i="13"/>
  <c r="C31" i="13"/>
  <c r="C4" i="13"/>
  <c r="C20" i="13"/>
  <c r="C36" i="13"/>
  <c r="C9" i="13"/>
  <c r="C25" i="13"/>
  <c r="C41" i="13"/>
  <c r="C11" i="13"/>
  <c r="C32" i="13"/>
  <c r="C14" i="13"/>
  <c r="C19" i="13"/>
  <c r="C35" i="13"/>
  <c r="C8" i="13"/>
  <c r="C24" i="13"/>
  <c r="C40" i="13"/>
  <c r="C13" i="13"/>
  <c r="C29" i="13"/>
  <c r="C2" i="13"/>
  <c r="C22" i="13"/>
  <c r="C27" i="13"/>
  <c r="C16" i="13"/>
  <c r="C21" i="13"/>
  <c r="C30" i="13"/>
  <c r="C3" i="13"/>
  <c r="C18" i="13"/>
  <c r="C34" i="13"/>
  <c r="C7" i="13"/>
  <c r="C23" i="13"/>
  <c r="C39" i="13"/>
  <c r="C12" i="13"/>
  <c r="C28" i="13"/>
  <c r="C44" i="13"/>
  <c r="C17" i="13"/>
  <c r="C33" i="13"/>
  <c r="P2" i="13" l="1" a="1"/>
  <c r="P2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0AB2AD-1680-4F3B-9FE6-63399986D380}" name="Query - Food Item Level Data" description="Connection to the 'Food Item Level Data' query in the workbook." type="100" refreshedVersion="8" minRefreshableVersion="5">
    <extLst>
      <ext xmlns:x15="http://schemas.microsoft.com/office/spreadsheetml/2010/11/main" uri="{DE250136-89BD-433C-8126-D09CA5730AF9}">
        <x15:connection id="a1b175c8-2e3b-4630-adb3-05e6f3575b00"/>
      </ext>
    </extLst>
  </connection>
  <connection id="2" xr16:uid="{704A1D60-191F-4E7D-8F1A-333E2E2DE48E}" name="Query - Swiggy_Orders_Data" description="Connection to the 'Swiggy_Orders_Data' query in the workbook." type="100" refreshedVersion="8" minRefreshableVersion="5">
    <extLst>
      <ext xmlns:x15="http://schemas.microsoft.com/office/spreadsheetml/2010/11/main" uri="{DE250136-89BD-433C-8126-D09CA5730AF9}">
        <x15:connection id="22c827e1-feed-4803-805f-417abf9ae4f9"/>
      </ext>
    </extLst>
  </connection>
  <connection id="3" xr16:uid="{B0B09494-1C8D-48FF-BF57-79B9DCA6A57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5A2AE9B-EF85-40CB-8536-A84F85A2D308}" name="WorksheetConnection_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Table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<sst xmlns="http://schemas.openxmlformats.org/spreadsheetml/2006/main" count="2008" uniqueCount="769">
  <si>
    <t>Food I'm ordering the most</t>
  </si>
  <si>
    <t>When am I ordering the most?</t>
  </si>
  <si>
    <t>Mode of Payment</t>
  </si>
  <si>
    <t>Offers received</t>
  </si>
  <si>
    <t>Rating</t>
  </si>
  <si>
    <t>What kind of food?</t>
  </si>
  <si>
    <t>order_id</t>
  </si>
  <si>
    <t>is_coupon_applied</t>
  </si>
  <si>
    <t>coupon_applied</t>
  </si>
  <si>
    <t>offers_data</t>
  </si>
  <si>
    <t>order_time</t>
  </si>
  <si>
    <t>confirmed_time</t>
  </si>
  <si>
    <t>customer_id</t>
  </si>
  <si>
    <t>order_status</t>
  </si>
  <si>
    <t>delivery_boy</t>
  </si>
  <si>
    <t>restaurant_id</t>
  </si>
  <si>
    <t>restaurant_name</t>
  </si>
  <si>
    <t>restaurant_address</t>
  </si>
  <si>
    <t>restaurant_locality</t>
  </si>
  <si>
    <t>restaurant_city_name</t>
  </si>
  <si>
    <t>delivery_time_in_seconds</t>
  </si>
  <si>
    <t>order_total</t>
  </si>
  <si>
    <t>order_total_with_tip</t>
  </si>
  <si>
    <t>net_total</t>
  </si>
  <si>
    <t>item_total</t>
  </si>
  <si>
    <t>free_delivery_discount_hit</t>
  </si>
  <si>
    <t>restaurant_order_rating</t>
  </si>
  <si>
    <t>restaurant_lat_lng</t>
  </si>
  <si>
    <t>restaurant_customer_distance</t>
  </si>
  <si>
    <t>coupon_code</t>
  </si>
  <si>
    <t>order_payment_method</t>
  </si>
  <si>
    <t>restaurant_area_name</t>
  </si>
  <si>
    <t>on_time</t>
  </si>
  <si>
    <t>rain_mode</t>
  </si>
  <si>
    <t>SWIGGYIT</t>
  </si>
  <si>
    <t>[{"id":"7740ff94-cc8f-41cf-b6ec-d4c97cbd0060","super_type":"SUPERTYPE_UNSPECIFIED","total_offer_discount":120,"discount_share":{"swiggy_discount":67.2,"store_discount":52.8,"alliance_discount":0},"discount_type":"PERCENTAGE","description":"60% off","fixed_charges":{"gp":{"id":"","final_price":0}}}]</t>
  </si>
  <si>
    <t>2024-05-21 12:28:52</t>
  </si>
  <si>
    <t>2024-05-21 12:29:13</t>
  </si>
  <si>
    <t>Delivered</t>
  </si>
  <si>
    <t>[Record]</t>
  </si>
  <si>
    <t>Paris Panini - Gourmet Sandwiches &amp; Wraps</t>
  </si>
  <si>
    <t>No.690/A, 14th Main, 100ft Road, JP Nagar 2nd Phase, Bangalore 560078.</t>
  </si>
  <si>
    <t>JP Nagar</t>
  </si>
  <si>
    <t>Bangalore</t>
  </si>
  <si>
    <t>12.90649867,77.59165435</t>
  </si>
  <si>
    <t>UPICollect</t>
  </si>
  <si>
    <t/>
  </si>
  <si>
    <t>2024-05-20 15:00:17</t>
  </si>
  <si>
    <t>2024-05-20 15:00:38</t>
  </si>
  <si>
    <t>Nandhana Palace</t>
  </si>
  <si>
    <t>JP nagar, 147, 24th Main Rd, R.K Colony, Marenahalli, 2nd Phase, J. P. Nagar, Bengaluru, Karnataka 560078</t>
  </si>
  <si>
    <t>12.914599,77.585509</t>
  </si>
  <si>
    <t>MISSEDYOU</t>
  </si>
  <si>
    <t>[{"id":"c1399a7d-65f4-486a-ba3e-72a9d9c70cad","super_type":"SUPERTYPE_UNSPECIFIED","total_offer_discount":80,"discount_share":{"swiggy_discount":16,"store_discount":64,"alliance_discount":0},"discount_type":"PERCENTAGE","description":"40% off","fixed_charges":{"gp":{"id":"","final_price":0}}}]</t>
  </si>
  <si>
    <t>2024-05-18 21:21:54</t>
  </si>
  <si>
    <t>2024-05-18 21:22:15</t>
  </si>
  <si>
    <t>The Ganache Factory - Cakes &amp; Desserts</t>
  </si>
  <si>
    <t>#156, 43rd Cross, 8th Block, Next to Udupi Hub Resto, Jayanagar, Bangalore</t>
  </si>
  <si>
    <t>8th Block</t>
  </si>
  <si>
    <t>12.91835714,77.578127</t>
  </si>
  <si>
    <t>Jayanagar</t>
  </si>
  <si>
    <t>[{"id":"28bf3ebb-4a69-4a92-88a4-f491a5f86e17","super_type":"SUPERTYPE_UNSPECIFIED","total_offer_discount":39.99,"discount_share":{"swiggy_discount":0,"store_discount":39.99,"alliance_discount":0},"discount_type":"PERCENTAGE","description":"10% off","fixed_charges":{"gp":{"id":"","final_price":0}}}]</t>
  </si>
  <si>
    <t>2024-05-18 09:07:26</t>
  </si>
  <si>
    <t>2024-05-18 09:07:44</t>
  </si>
  <si>
    <t>Rasayan</t>
  </si>
  <si>
    <t>652,13th cross,29th main road BTM 2nd stage,560078, Bangalore Karnataka</t>
  </si>
  <si>
    <t>Health Bar</t>
  </si>
  <si>
    <t>12.907799,77.613487</t>
  </si>
  <si>
    <t>BTM 2nd Stage</t>
  </si>
  <si>
    <t>DEALICIOUS</t>
  </si>
  <si>
    <t>[{"id":"91e6269d-640b-443e-a7d4-46089c0574f6","super_type":"SUPERTYPE_UNSPECIFIED","total_offer_discount":124.99,"discount_share":{"swiggy_discount":0,"store_discount":124.99,"alliance_discount":0},"discount_type":"FLAT","description":"FLAT125 off","fixed_charges":{"gp":{"id":"","final_price":0}}}]</t>
  </si>
  <si>
    <t>2024-05-17 14:41:45</t>
  </si>
  <si>
    <t>2024-05-17 14:42:09</t>
  </si>
  <si>
    <t>Firangi Bake</t>
  </si>
  <si>
    <t>Shop No.4, Frist Floor, NGK Complex, Tavarekere Main Rd, 1st Stage, BTM Layout, Bengaluru, Karnataka 560029 ( Above DMart Ready)</t>
  </si>
  <si>
    <t>NGK Complex</t>
  </si>
  <si>
    <t>12.920219,77.610520</t>
  </si>
  <si>
    <t>BTM 1st Stage</t>
  </si>
  <si>
    <t>MDM150</t>
  </si>
  <si>
    <t>[{"id":"60d51c5f-a27d-407c-9d72-c55f498dea78","super_type":"SUPERTYPE_UNSPECIFIED","total_offer_discount":149.99,"discount_share":{"swiggy_discount":15,"store_discount":134.99,"alliance_discount":0},"discount_type":"FLAT","description":"Flat ₹150 off","fixed_charges":{"gp":{"id":"","final_price":0}}}]</t>
  </si>
  <si>
    <t>2024-05-10 22:20:55</t>
  </si>
  <si>
    <t>2024-05-10 22:21:01</t>
  </si>
  <si>
    <t>Daily Sushi</t>
  </si>
  <si>
    <t>No.5, 1st Floor, 9th Main Road, 5th block, Jayanagar, 560041</t>
  </si>
  <si>
    <t>5th Block</t>
  </si>
  <si>
    <t>12.92243257,77.58390586</t>
  </si>
  <si>
    <t>Cash</t>
  </si>
  <si>
    <t>2024-05-10 19:14:56</t>
  </si>
  <si>
    <t>2024-05-10 19:15:01</t>
  </si>
  <si>
    <t>[{"id":"8a02a1ac-9efe-46ea-9649-fc635c7c8618","super_type":"SUPERTYPE_UNSPECIFIED","total_offer_discount":35,"discount_share":{"swiggy_discount":0,"store_discount":35,"alliance_discount":0},"discount_type":"PERCENTAGE","description":"10% off","fixed_charges":{"gp":{"id":"","final_price":0}}}]</t>
  </si>
  <si>
    <t>2024-05-08 11:36:45</t>
  </si>
  <si>
    <t>2024-05-08 11:37:28</t>
  </si>
  <si>
    <t>Naalnaad Mane</t>
  </si>
  <si>
    <t>16,2ND FLOOR GOWRY'S BUILDING,ABOVE DOMINO'S,SY NO 13 OF AREKERE VILLAGE,BANNERGHATTA,BANGLAORE,jayanagar,B.B.M.PM south, karnataka - 560076</t>
  </si>
  <si>
    <t>Mico Layout</t>
  </si>
  <si>
    <t>12.89009167,77.5976944</t>
  </si>
  <si>
    <t>Arekere</t>
  </si>
  <si>
    <t>2024-05-07 23:45:56</t>
  </si>
  <si>
    <t>2024-05-07 23:46:17</t>
  </si>
  <si>
    <t>Theobroma</t>
  </si>
  <si>
    <t>SHOP NO-39,SHABARI ARCADE,14TH MAIN ROAD,OPP MAX SHOWROOM, HSR LAYOUT,BANGALORE-560102, BTM Layout , B.B.M.P South, Karnataka-560102</t>
  </si>
  <si>
    <t>7th Sector</t>
  </si>
  <si>
    <t>12.91135428,77.6380469</t>
  </si>
  <si>
    <t>HSR Layout</t>
  </si>
  <si>
    <t>2024-05-07 21:31:39</t>
  </si>
  <si>
    <t>2024-05-07 21:31:57</t>
  </si>
  <si>
    <t>SHOP NO. 475, GROUND FLOOR, 39TH "C" CROSS, 9TH MAIN, 5THBLOCK, JAYANAGAR,BANGALORE, Jayanagar ,B.B.M.P South, Karnataka,560041</t>
  </si>
  <si>
    <t>5th block</t>
  </si>
  <si>
    <t>12.92017647,77.5836421</t>
  </si>
  <si>
    <t>[{"id":"8a02a1ac-9efe-46ea-9649-fc635c7c8618","super_type":"SUPERTYPE_UNSPECIFIED","total_offer_discount":28,"discount_share":{"swiggy_discount":0,"store_discount":28,"alliance_discount":0},"discount_type":"PERCENTAGE","description":"10% off","fixed_charges":{"gp":{"id":"","final_price":0}}}]</t>
  </si>
  <si>
    <t>2024-05-07 19:02:12</t>
  </si>
  <si>
    <t>2024-05-07 19:02:53</t>
  </si>
  <si>
    <t>TRYNEW</t>
  </si>
  <si>
    <t>[{"id":"5c8d9a7d-f899-4dcc-998e-d3e0b2960661","super_type":"SUPERTYPE_UNSPECIFIED","total_offer_discount":80,"discount_share":{"swiggy_discount":0,"store_discount":80,"alliance_discount":0},"discount_type":"PERCENTAGE","description":"40% off","fixed_charges":{"gp":{"id":"","final_price":0}}}]</t>
  </si>
  <si>
    <t>2024-05-07 13:18:22</t>
  </si>
  <si>
    <t>2024-05-07 13:18:44</t>
  </si>
  <si>
    <t>[{"id":"28bf3ebb-4a69-4a92-88a4-f491a5f86e17","super_type":"SUPERTYPE_UNSPECIFIED","total_offer_discount":23.9,"discount_share":{"swiggy_discount":0,"store_discount":23.9,"alliance_discount":0},"discount_type":"PERCENTAGE","description":"10% off","fixed_charges":{"gp":{"id":"","final_price":0}}}]</t>
  </si>
  <si>
    <t>2024-05-07 10:06:46</t>
  </si>
  <si>
    <t>2024-05-07 10:07:00</t>
  </si>
  <si>
    <t>[{"id":"137a1aed-678a-41ce-ac11-088fcce35f29","super_type":"SUPERTYPE_UNSPECIFIED","total_offer_discount":100,"discount_share":{"swiggy_discount":48,"store_discount":52,"alliance_discount":0},"discount_type":"PERCENTAGE","description":"50% off","fixed_charges":{"gp":{"id":"","final_price":0}}}]</t>
  </si>
  <si>
    <t>2024-05-06 19:18:39</t>
  </si>
  <si>
    <t>2024-05-06 19:19:03</t>
  </si>
  <si>
    <t>2024-05-06 16:03:12</t>
  </si>
  <si>
    <t>2024-05-06 16:03:45</t>
  </si>
  <si>
    <t>Love And Crumble</t>
  </si>
  <si>
    <t>NO 307, LALEHZAR APARTMENTS PALACE ROAD SHIVAJINAGARA B.B.M.P EAST KARNATAKA</t>
  </si>
  <si>
    <t>Lalehzar Apartments Palace Road</t>
  </si>
  <si>
    <t>12.98505012,77.5880017</t>
  </si>
  <si>
    <t>Malleshwaram</t>
  </si>
  <si>
    <t>[{"id":"8ecc3140-454d-483f-810e-78be04d68af5","super_type":"SUPERTYPE_UNSPECIFIED","total_offer_discount":124.99,"discount_share":{"swiggy_discount":0,"store_discount":124.99,"alliance_discount":0},"discount_type":"FLAT","description":"FLAT125 off","fixed_charges":{"gp":{"id":"","final_price":0}}}]</t>
  </si>
  <si>
    <t>2024-05-06 13:53:24</t>
  </si>
  <si>
    <t>2024-05-06 13:53:46</t>
  </si>
  <si>
    <t>No 87/15/638/2 Nanjappa garden, Katha no - 1785/87/15/638/2, Arekere Village, begur hobali, Bangalore South taluk, Bangalore - 560076</t>
  </si>
  <si>
    <t>Begur Hobali</t>
  </si>
  <si>
    <t>12.885643,77.602120</t>
  </si>
  <si>
    <t>2024-05-06 08:43:13</t>
  </si>
  <si>
    <t>2024-05-06 08:43:38</t>
  </si>
  <si>
    <t>[{"id":"28bf3ebb-4a69-4a92-88a4-f491a5f86e17","super_type":"SUPERTYPE_UNSPECIFIED","total_offer_discount":40,"discount_share":{"swiggy_discount":0,"store_discount":40,"alliance_discount":0},"discount_type":"PERCENTAGE","description":"10% off","fixed_charges":{"gp":{"id":"","final_price":0}}}]</t>
  </si>
  <si>
    <t>2024-05-05 19:17:56</t>
  </si>
  <si>
    <t>2024-05-05 19:18:22</t>
  </si>
  <si>
    <t>JUMBO</t>
  </si>
  <si>
    <t>[{"id":"7b5f26f9-18b8-4c51-aed1-b1e142eba2ae","super_type":"SUPERTYPE_UNSPECIFIED","total_offer_discount":149.4,"discount_share":{"swiggy_discount":0,"store_discount":149.4,"alliance_discount":0},"discount_type":"PERCENTAGE","description":"30% off","fixed_charges":{"gp":{"id":"","final_price":0}}}]</t>
  </si>
  <si>
    <t>2024-05-05 08:36:52</t>
  </si>
  <si>
    <t>2024-05-05 08:37:10</t>
  </si>
  <si>
    <t>[{"id":"903b3cd1-104b-4bdd-94d3-96daaea1a80b","super_type":"SUPERTYPE_UNSPECIFIED","total_offer_discount":44.99,"discount_share":{"swiggy_discount":0,"store_discount":44.99,"alliance_discount":0},"discount_type":"PERCENTAGE","description":"15% off","fixed_charges":{"gp":{"id":"","final_price":0}}}]</t>
  </si>
  <si>
    <t>2024-05-04 15:56:01</t>
  </si>
  <si>
    <t>2024-05-04 15:56:19</t>
  </si>
  <si>
    <t>[{"id":"bcdcaa8c-6d73-46c7-af56-3b6dc93e207a","super_type":"SUPERTYPE_UNSPECIFIED","total_offer_discount":60,"discount_share":{"swiggy_discount":12,"store_discount":48,"alliance_discount":0},"discount_type":"PERCENTAGE","description":"30% off","fixed_charges":{"gp":{"id":"","final_price":0}}}]</t>
  </si>
  <si>
    <t>2024-05-02 19:15:20</t>
  </si>
  <si>
    <t>2024-05-02 19:15:26</t>
  </si>
  <si>
    <t>Homely</t>
  </si>
  <si>
    <t>No. 135/14, 100ft Ring Road, 15th Cross, J.P.Nagar, 3rd Phase, Bengaluru.560076</t>
  </si>
  <si>
    <t>3rd Phase</t>
  </si>
  <si>
    <t>12.906291,77.596256</t>
  </si>
  <si>
    <t>[{"id":"6efa58fe-50e0-4c94-aadd-f2cf8ce25c67","super_type":"SUPERTYPE_UNSPECIFIED","total_offer_discount":99.99000000000001,"discount_share":{"swiggy_discount":47.99,"store_discount":52,"alliance_discount":0},"discount_type":"PERCENTAGE","description":"50% off","fixed_charges":{"gp":{"id":"","final_price":0}}}]</t>
  </si>
  <si>
    <t>2024-05-01 15:58:19</t>
  </si>
  <si>
    <t>2024-05-01 15:58:57</t>
  </si>
  <si>
    <t>[{"id":"7b5f26f9-18b8-4c51-aed1-b1e142eba2ae","super_type":"SUPERTYPE_UNSPECIFIED","total_offer_discount":148.8,"discount_share":{"swiggy_discount":0,"store_discount":148.8,"alliance_discount":0},"discount_type":"PERCENTAGE","description":"30% off","fixed_charges":{"gp":{"id":"","final_price":0}}}]</t>
  </si>
  <si>
    <t>2024-05-01 10:16:04</t>
  </si>
  <si>
    <t>2024-05-01 10:16:24</t>
  </si>
  <si>
    <t>[{"id":"7b5f26f9-18b8-4c51-aed1-b1e142eba2ae","super_type":"SUPERTYPE_UNSPECIFIED","total_offer_discount":149.99,"discount_share":{"swiggy_discount":0,"store_discount":149.99,"alliance_discount":0},"discount_type":"PERCENTAGE","description":"30% off","fixed_charges":{"gp":{"id":"","final_price":0}}}]</t>
  </si>
  <si>
    <t>2024-04-27 10:09:55</t>
  </si>
  <si>
    <t>2024-04-27 10:10:09</t>
  </si>
  <si>
    <t>2024-04-27 10:07:51</t>
  </si>
  <si>
    <t>2024-04-27 10:08:09</t>
  </si>
  <si>
    <t>cancelled</t>
  </si>
  <si>
    <t>[{"id":"f90d8119-321f-4158-a454-d7576a8e0a65","super_type":"SUPERTYPE_UNSPECIFIED","total_offer_discount":75,"discount_share":{"swiggy_discount":18.75,"store_discount":56.25,"alliance_discount":0},"discount_type":"PERCENTAGE","description":"30% off","fixed_charges":{"gp":{"id":"","final_price":0}}}]</t>
  </si>
  <si>
    <t>2024-04-25 19:00:59</t>
  </si>
  <si>
    <t>2024-04-25 19:01:33</t>
  </si>
  <si>
    <t>Chowman</t>
  </si>
  <si>
    <t>SAI DURGA ENCLAVE, KATHA NO 1099, AND NO 833/1, GROUND FLOOR, BELLENDUR VILLAGE, VARTHUR HOBLI, BANGALORE, Mahadevapura , B.B.M.P East, Karnataka-560037</t>
  </si>
  <si>
    <t>Sai Durga Enclave</t>
  </si>
  <si>
    <t>12.92314229,77.6713331</t>
  </si>
  <si>
    <t>Bellandur</t>
  </si>
  <si>
    <t>[{"id":"12337c67-3996-4380-afdd-b7cf7e3de7a3","super_type":"SUPERTYPE_UNSPECIFIED","total_offer_discount":100,"discount_share":{"swiggy_discount":48,"store_discount":52,"alliance_discount":0},"discount_type":"PERCENTAGE","description":"50% off","fixed_charges":{"gp":{"id":"","final_price":0}}}]</t>
  </si>
  <si>
    <t>2024-04-24 19:40:51</t>
  </si>
  <si>
    <t>2024-04-24 19:41:11</t>
  </si>
  <si>
    <t>Counter No. 23, 24 &amp; 33, No. 53/2,  Doddakannelli Village, Varthur Hobli,  Bangalore, Mahadevapura , B.B.M.P East,  Karnataka-560038</t>
  </si>
  <si>
    <t>Sarjapur Road</t>
  </si>
  <si>
    <t>12.90906249,77.68766132</t>
  </si>
  <si>
    <t>Bellandur Sarjapur</t>
  </si>
  <si>
    <t>[{"id":"a95119de-61b8-489b-ad8b-1cf7a5d62a5e","super_type":"SUPERTYPE_UNSPECIFIED","total_offer_discount":50,"discount_share":{"swiggy_discount":15,"store_discount":35,"alliance_discount":0},"discount_type":"PERCENTAGE","description":"20% off","fixed_charges":{"gp":{"id":"","final_price":0}}}]</t>
  </si>
  <si>
    <t>2024-04-23 23:43:02</t>
  </si>
  <si>
    <t>2024-04-23 23:43:23</t>
  </si>
  <si>
    <t>Frozen Bottle - Milkshakes, Desserts And Ice Cream</t>
  </si>
  <si>
    <t>88, Celler Floor, 17th Cross, 14th main, Sector - 4, HSR, Bangalore</t>
  </si>
  <si>
    <t>12.91233118,77.63839138</t>
  </si>
  <si>
    <t>[{"id":"768dad50-eef1-40d7-bfd4-5327ee71bb5a","super_type":"SUPERTYPE_UNSPECIFIED","total_offer_discount":60,"discount_share":{"swiggy_discount":0,"store_discount":60,"alliance_discount":0},"discount_type":"PERCENTAGE","description":"30% off","fixed_charges":{"gp":{"id":"","final_price":0}}}]</t>
  </si>
  <si>
    <t>2024-04-23 19:20:12</t>
  </si>
  <si>
    <t>2024-04-23 19:20:29</t>
  </si>
  <si>
    <t>SHOP NO 2318,HSR LAYOUT SECTOR ONE,NEAR NIFT COLLEGE,BANGALORE</t>
  </si>
  <si>
    <t>Near NIFT College, Sector 1</t>
  </si>
  <si>
    <t>12.912101,77.65163400000006</t>
  </si>
  <si>
    <t>[{"id":"24ecd13d-e27f-4858-9c2a-bdc2b708cce4","super_type":"SUPERTYPE_UNSPECIFIED","total_offer_discount":150,"discount_share":{"swiggy_discount":75,"store_discount":75,"alliance_discount":0},"discount_type":"FLAT","description":"Flat ₹150 off","fixed_charges":{"gp":{"id":"","final_price":0}}}]</t>
  </si>
  <si>
    <t>2024-04-22 19:58:41</t>
  </si>
  <si>
    <t>2024-04-22 19:59:12</t>
  </si>
  <si>
    <t>Leon's - Burgers &amp; Wings (Leon Grill)</t>
  </si>
  <si>
    <t>No.17, Ground Floor, 18th Cross Road, 3rd Sector, HSR Layout, Bangalore.</t>
  </si>
  <si>
    <t>12.91181131,77.64374963</t>
  </si>
  <si>
    <t>[{"id":"8cdbbc6c-7669-489e-b255-421d322ec80f","super_type":"SUPERTYPE_UNSPECIFIED","total_offer_discount":150,"discount_share":{"swiggy_discount":75,"store_discount":75,"alliance_discount":0},"discount_type":"FLAT","description":"Flat ₹150 off","fixed_charges":{"gp":{"id":"","final_price":0}}}]</t>
  </si>
  <si>
    <t>2024-04-18 18:43:41</t>
  </si>
  <si>
    <t>2024-04-18 18:44:05</t>
  </si>
  <si>
    <t>2024-04-03 18:53:56</t>
  </si>
  <si>
    <t>2024-04-03 18:54:20</t>
  </si>
  <si>
    <t>2024-04-01 19:23:01</t>
  </si>
  <si>
    <t>2024-04-01 19:23:06</t>
  </si>
  <si>
    <t>2024-03-31 15:46:07</t>
  </si>
  <si>
    <t>2024-03-31 15:46:25</t>
  </si>
  <si>
    <t>[{"id":"16ef3f62-96d1-48fa-977b-3851da22b190","super_type":"SUPERTYPE_UNSPECIFIED","total_offer_discount":80,"discount_share":{"swiggy_discount":20,"store_discount":60,"alliance_discount":0},"discount_type":"PERCENTAGE","description":"40%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</si>
  <si>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2024-03-25 14:23:37</t>
  </si>
  <si>
    <t>2024-03-25 14:23:54</t>
  </si>
  <si>
    <t>Subway</t>
  </si>
  <si>
    <t>36, 3rd Store, 7th Sector, 14th main, HSR Layout</t>
  </si>
  <si>
    <t>12.9118135,77.637958</t>
  </si>
  <si>
    <t>Hsr Layout</t>
  </si>
  <si>
    <t>FLATDEAL</t>
  </si>
  <si>
    <t>[{"id":"20f94987-8858-4c7d-bf7b-c2ff8a327fa8","super_type":"SUPERTYPE_UNSPECIFIED","total_offer_discount":99.99,"discount_share":{"swiggy_discount":0,"store_discount":99.99,"alliance_discount":0},"discount_type":"FLAT","description":"FLAT100 off","fixed_charges":{"gp":{"id":"","final_price":0}}}]</t>
  </si>
  <si>
    <t>2024-03-21 19:08:54</t>
  </si>
  <si>
    <t>2024-03-21 19:09:08</t>
  </si>
  <si>
    <t>[{"id":"e7373c56-9ba3-49f4-be3d-f75ecf92675e","super_type":"SUPERTYPE_UNSPECIFIED","total_offer_discount":80,"discount_share":{"swiggy_discount":20,"store_discount":60,"alliance_discount":0},"discount_type":"PERCENTAGE","description":"40%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</si>
  <si>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2024-03-10 21:08:36</t>
  </si>
  <si>
    <t>2024-03-10 21:09:03</t>
  </si>
  <si>
    <t>2024-03-09 18:33:51</t>
  </si>
  <si>
    <t>2024-03-09 18:34:15</t>
  </si>
  <si>
    <t>2024-03-08 19:49:32</t>
  </si>
  <si>
    <t>2024-03-08 19:49:59</t>
  </si>
  <si>
    <t>Bowl Soul</t>
  </si>
  <si>
    <t>No 526/A,Ganesh Complex,Ground floor,18th Main Road,HSR 3rd sector,Bangalore:560102</t>
  </si>
  <si>
    <t>3rd Sector</t>
  </si>
  <si>
    <t>12.9054065,77.64410799999996</t>
  </si>
  <si>
    <t>[{"id":"68fb12f6-cd47-465f-8695-896e48e6c41d","super_type":"SUPERTYPE_UNSPECIFIED","total_offer_discount":80,"discount_share":{"swiggy_discount":20,"store_discount":60,"alliance_discount":0},"discount_type":"PERCENTAGE","description":"40%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</si>
  <si>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2024-03-05 21:00:14</t>
  </si>
  <si>
    <t>2024-03-05 21:00:40</t>
  </si>
  <si>
    <t>2024-03-04 14:50:09</t>
  </si>
  <si>
    <t>2024-03-04 14:50:43</t>
  </si>
  <si>
    <t>Koramangala, 7, Mahakavi Vemana Rd, KHB Block Koramangala, Koramangala 4-B Block, Koramangala, Bengaluru, Karnataka 560034</t>
  </si>
  <si>
    <t>Koramangala</t>
  </si>
  <si>
    <t>12.93171741,77.6229908</t>
  </si>
  <si>
    <t>2024-03-03 17:55:54</t>
  </si>
  <si>
    <t>2024-03-03 17:56:20</t>
  </si>
  <si>
    <t>No.1212, SBM Fortune, 4th Floor, 22nd Cross Road, 14th Main Rd, 3rd Sector, HSR Layout, Bengaluru, Karnataka 560102, India</t>
  </si>
  <si>
    <t>12.90942041,77.63866215</t>
  </si>
  <si>
    <t>2024-03-02 01:47:43</t>
  </si>
  <si>
    <t>2024-03-02 01:49:00</t>
  </si>
  <si>
    <t>Sundae Everyday Ice Creams</t>
  </si>
  <si>
    <t>Bharadwaj Ventures No.2007,Next to Park Villa, Behind Amul Parlour, Near Venkateshwara College, Vidya Nagar, Bengaluru North 562157, Bangalore North, Bangalore Urban, Karnataka-562157</t>
  </si>
  <si>
    <t>Vidya Nagar</t>
  </si>
  <si>
    <t>13.16024,77.6351</t>
  </si>
  <si>
    <t>Yelahanka</t>
  </si>
  <si>
    <t>[{"id":"ba56dab2-1b4c-454a-87c7-66ccaab3091f","super_type":"SUPERTYPE_UNSPECIFIED","total_offer_discount":20.9,"discount_share":{"swiggy_discount":0,"store_discount":20.9,"alliance_discount":0},"discount_type":"PERCENTAGE","description":"10% off","fixed_charges":{"gp":{"id":"","final_price":0}}}]</t>
  </si>
  <si>
    <t>2024-02-27 23:58:33</t>
  </si>
  <si>
    <t>2024-02-27 23:58:54</t>
  </si>
  <si>
    <t>Smoky Docky</t>
  </si>
  <si>
    <t>130, 17th H Main Rd, KHB Colony, M.I.G, 5th Block, Koramangala, Bengaluru, Karnataka 560095, India</t>
  </si>
  <si>
    <t>12.934678,77.616812</t>
  </si>
  <si>
    <t>[{"id":"5ba597b1-287c-4335-9317-451a632f4519","super_type":"SUPERTYPE_UNSPECIFIED","total_offer_discount":75,"discount_share":{"swiggy_discount":18.75,"store_discount":56.25,"alliance_discount":0},"discount_type":"PERCENTAGE","description":"30% off","fixed_charges":{"gp":{"id":"","final_price":0}}}]</t>
  </si>
  <si>
    <t>2024-02-27 19:55:39</t>
  </si>
  <si>
    <t>2024-02-27 19:56:01</t>
  </si>
  <si>
    <t>CNA Arcade, Ground Floor, No. 37, 1st Main, 1st Block, Koramangala, Bangalore-560034</t>
  </si>
  <si>
    <t>1st Block</t>
  </si>
  <si>
    <t>12.928999,77.635218</t>
  </si>
  <si>
    <t>2024-02-26 20:09:48</t>
  </si>
  <si>
    <t>2024-02-26 20:12:01</t>
  </si>
  <si>
    <t>[{"id":"c43b8888-f483-43af-9935-7d4034582849","super_type":"SUPERTYPE_UNSPECIFIED","total_offer_discount":35.7,"discount_share":{"swiggy_discount":0,"store_discount":35.7,"alliance_discount":0},"discount_type":"PERCENTAGE","description":"10% off","fixed_charges":{"gp":{"id":"","final_price":0}}}]</t>
  </si>
  <si>
    <t>2024-02-18 18:18:22</t>
  </si>
  <si>
    <t>2024-02-18 18:18:57</t>
  </si>
  <si>
    <t>Parcel 5 Food Court, Embassy Tech Village, Outer Ring Road, Near New Horizon College, Devarabeesanahalli, Varthur Hobli, Bangalore , Mahadevapura , B.B.M.P East, Karnataka-560103</t>
  </si>
  <si>
    <t>12.927366,77.692146</t>
  </si>
  <si>
    <t>Devarabeesanahalli</t>
  </si>
  <si>
    <t>2024-02-16 20:31:01</t>
  </si>
  <si>
    <t>2024-02-16 20:31:06</t>
  </si>
  <si>
    <t>[{"id":"14a3b6c3-fe74-4f29-9b89-a2368550fb25","super_type":"SUPERTYPE_UNSPECIFIED","total_offer_discount":80,"discount_share":{"swiggy_discount":20,"store_discount":60,"alliance_discount":0},"discount_type":"PERCENTAGE","description":"40%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</si>
  <si>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2024-02-16 13:57:27</t>
  </si>
  <si>
    <t>2024-02-16 13:57:55</t>
  </si>
  <si>
    <t>[{"id":"c43b8888-f483-43af-9935-7d4034582849","super_type":"SUPERTYPE_UNSPECIFIED","total_offer_discount":40,"discount_share":{"swiggy_discount":0,"store_discount":40,"alliance_discount":0},"discount_type":"PERCENTAGE","description":"10% off","fixed_charges":{"gp":{"id":"","final_price":0}}}]</t>
  </si>
  <si>
    <t>2024-02-15 13:08:25</t>
  </si>
  <si>
    <t>2024-02-15 13:08:43</t>
  </si>
  <si>
    <t>2024-02-13 19:52:04</t>
  </si>
  <si>
    <t>2024-02-13 19:52:39</t>
  </si>
  <si>
    <t>[{"id":"a06ad688-47c7-4d07-b1e6-983b5c122814","super_type":"SUPERTYPE_UNSPECIFIED","total_offer_discount":111.6,"discount_share":{"swiggy_discount":22.32,"store_discount":89.28,"alliance_discount":0},"discount_type":"PERCENTAGE","description":"60% off","fixed_charges":{"gp":{"id":"","final_price":0}}}]</t>
  </si>
  <si>
    <t>2024-02-04 01:44:56</t>
  </si>
  <si>
    <t>2024-02-04 01:45:34</t>
  </si>
  <si>
    <t>NOTO - Ice Creams &amp; Desserts</t>
  </si>
  <si>
    <t>#345, kaikondrahalli Sarjapura main road Bangalore 560056, Mahadevpura, B.B.M.P East, Karnataka - 560056</t>
  </si>
  <si>
    <t>Kaikondrahalli</t>
  </si>
  <si>
    <t>12.913087,77.678681</t>
  </si>
  <si>
    <t>2024-02-03 15:17:54</t>
  </si>
  <si>
    <t>2024-02-03 15:18:26</t>
  </si>
  <si>
    <t>Baba Ganoush</t>
  </si>
  <si>
    <t>KORMANGALA, 6th block, 80ft main road Shop no 2, NA chambers 2 , 478, 6th Block, Koramangala, Bengaluru, Karnataka 560095, India</t>
  </si>
  <si>
    <t>6th Block</t>
  </si>
  <si>
    <t>12.9398836,77.6252951</t>
  </si>
  <si>
    <t>2024-02-02 20:08:16</t>
  </si>
  <si>
    <t>2024-02-02 20:09:12</t>
  </si>
  <si>
    <t>KHB Colony</t>
  </si>
  <si>
    <t>2024-01-28 16:28:50</t>
  </si>
  <si>
    <t>2024-01-28 16:28:56</t>
  </si>
  <si>
    <t>[{"id":"0d0cbd02-407f-4bb6-9c39-91b66ef5c01e","super_type":"SUPERTYPE_UNSPECIFIED","total_offer_discount":50,"discount_share":{"swiggy_discount":0,"store_discount":50,"alliance_discount":0},"discount_type":"PERCENTAGE","description":"20% off","fixed_charges":{"gp":{"id":"","final_price":0}}}]</t>
  </si>
  <si>
    <t>2024-01-27 21:43:01</t>
  </si>
  <si>
    <t>2024-01-27 21:43:42</t>
  </si>
  <si>
    <t>Domino's Pizza</t>
  </si>
  <si>
    <t>Ground Floor, # 1573, Sector 1(Agara), HSR Layout,,Bangalore - 560102</t>
  </si>
  <si>
    <t>1st Sector</t>
  </si>
  <si>
    <t>12.923037,77.646448</t>
  </si>
  <si>
    <t>[{"id":"66f89a57-1f02-4c46-a99b-8fc3b891874a","super_type":"SUPERTYPE_UNSPECIFIED","total_offer_discount":49.99,"discount_share":{"swiggy_discount":7.5,"store_discount":42.49,"alliance_discount":0},"discount_type":"PERCENTAGE","description":"20% off","fixed_charges":{"gp":{"id":"","final_price":0}}}]</t>
  </si>
  <si>
    <t>2024-01-20 23:31:34</t>
  </si>
  <si>
    <t>2024-01-20 23:31:48</t>
  </si>
  <si>
    <t>The Belgian Waffle Co.</t>
  </si>
  <si>
    <t>Near VI store, 647, 27th main road, sector 2, sector 5, 1st sector HSR Layout, Bengaluru Karnataka - 560102</t>
  </si>
  <si>
    <t>2nd Sector</t>
  </si>
  <si>
    <t>12.916097,77.65184</t>
  </si>
  <si>
    <t>2024-01-20 15:28:16</t>
  </si>
  <si>
    <t>2024-01-20 15:28:43</t>
  </si>
  <si>
    <t>FLAT100</t>
  </si>
  <si>
    <t>[{"id":"c5767fa3-4c94-4be2-88d4-9b923f4a2e14","super_type":"SUPERTYPE_UNSPECIFIED","total_offer_discount":99.99,"discount_share":{"swiggy_discount":0,"store_discount":99.99,"alliance_discount":0},"discount_type":"FLAT","description":"Flat ₹100 off","fixed_charges":{"gp":{"id":"","final_price":0}}}]</t>
  </si>
  <si>
    <t>2024-01-16 17:32:52</t>
  </si>
  <si>
    <t>2024-01-16 17:33:03</t>
  </si>
  <si>
    <t>[{"id":"4102e284-fde9-40d3-b050-82926746d231","super_type":"SUPERTYPE_UNSPECIFIED","total_offer_discount":99.99,"discount_share":{"swiggy_discount":0,"store_discount":99.99,"alliance_discount":0},"discount_type":"FLAT","description":"Flat ₹100 off","fixed_charges":{"gp":{"id":"","final_price":0}}}]</t>
  </si>
  <si>
    <t>2024-01-16 17:30:27</t>
  </si>
  <si>
    <t>2024-01-16 17:30:32</t>
  </si>
  <si>
    <t>[{"id":"e869bbb4-07f7-44d5-a519-1acaeadf5e53","super_type":"SUPERTYPE_UNSPECIFIED","total_offer_discount":99.99,"discount_share":{"swiggy_discount":29.99,"store_discount":70,"alliance_discount":0},"discount_type":"FLAT","description":"FLAT100 off","fixed_charges":{"gp":{"id":"","final_price":0}}}]</t>
  </si>
  <si>
    <t>2024-01-14 14:19:25</t>
  </si>
  <si>
    <t>2024-01-14 14:19:42</t>
  </si>
  <si>
    <t>Paratha Envy</t>
  </si>
  <si>
    <t>NO.504, 2ND FLOOR, 6TH CROSS, 6TH BLOCK, KORAMANGALA BANGALORE., BTM Layout, B.B.M.P South, Karnataka-560095</t>
  </si>
  <si>
    <t>12.937246,77.624643</t>
  </si>
  <si>
    <t>2024-01-09 01:01:28</t>
  </si>
  <si>
    <t>2024-01-09 01:01:48</t>
  </si>
  <si>
    <t>McDonald's</t>
  </si>
  <si>
    <t>HSR Layout #1, 14th Main,HSR LSector VII, Bengaluru- 56102.</t>
  </si>
  <si>
    <t>12.91207388,77.6380679</t>
  </si>
  <si>
    <t>[{"id":"c5752e1c-f5c2-4414-85fa-57de3a043c19","super_type":"SUPERTYPE_UNSPECIFIED","total_offer_discount":35.7,"discount_share":{"swiggy_discount":0,"store_discount":35.7,"alliance_discount":0},"discount_type":"PERCENTAGE","description":"10% off","fixed_charges":{"gp":{"id":"","final_price":0}}}]</t>
  </si>
  <si>
    <t>2023-12-31 20:34:35</t>
  </si>
  <si>
    <t>2023-12-31 20:34:53</t>
  </si>
  <si>
    <t>2023-12-31 20:29:21</t>
  </si>
  <si>
    <t>2023-12-31 20:29:27</t>
  </si>
  <si>
    <t>12.909368,77.638656</t>
  </si>
  <si>
    <t>CELEBRATIONS</t>
  </si>
  <si>
    <t>[{"id":"0cf35ab8-1dc8-4c78-8500-44beda4d0877","super_type":"SUPERTYPE_UNSPECIFIED","total_offer_discount":174.99,"discount_share":{"swiggy_discount":52.5,"store_discount":122.49,"alliance_discount":0},"discount_type":"FLAT","description":"Flat ₹175 off","fixed_charges":{"gp":{"id":"","final_price":0}}}]</t>
  </si>
  <si>
    <t>2023-12-26 15:19:03</t>
  </si>
  <si>
    <t>2023-12-26 15:19:25</t>
  </si>
  <si>
    <t>Burger Seigneur</t>
  </si>
  <si>
    <t>#717, 10th main road 2nd cross Hosapalya Opposite of Subodhini English high school ITI layout sector 7.</t>
  </si>
  <si>
    <t>MANGAMMANAPALYA</t>
  </si>
  <si>
    <t>12.90073452,77.6400283</t>
  </si>
  <si>
    <t>ITI layout, Hosapalya</t>
  </si>
  <si>
    <t>[{"id":"8493942f-3551-4789-a766-bd2e8eab5603","super_type":"SUPERTYPE_UNSPECIFIED","total_offer_discount":80,"discount_share":{"swiggy_discount":12,"store_discount":68,"alliance_discount":0},"discount_type":"PERCENTAGE","description":"40% off","fixed_charges":{"gp":{"id":"","final_price":0}}}]</t>
  </si>
  <si>
    <t>2023-12-25 13:37:43</t>
  </si>
  <si>
    <t>2023-12-25 13:38:02</t>
  </si>
  <si>
    <t>[{"id":"485642ce-1796-4eab-9811-3ff5e4b7d538","super_type":"SUPERTYPE_UNSPECIFIED","total_offer_discount":80,"discount_share":{"swiggy_discount":28,"store_discount":52,"alliance_discount":0},"discount_type":"PERCENTAGE","description":"40% off","fixed_charges":{"gp":{"id":"","final_price":0}}}]</t>
  </si>
  <si>
    <t>2023-12-09 14:07:16</t>
  </si>
  <si>
    <t>2023-12-09 14:07:34</t>
  </si>
  <si>
    <t>[{"id":"bf585ef3-1522-4981-b7a7-5e366761dbce","super_type":"SUPERTYPE_UNSPECIFIED","total_offer_discount":80,"discount_share":{"swiggy_discount":28,"store_discount":52,"alliance_discount":0},"discount_type":"PERCENTAGE","description":"40% off","fixed_charges":{"gp":{"id":"","final_price":0}}}]</t>
  </si>
  <si>
    <t>2023-12-02 13:46:34</t>
  </si>
  <si>
    <t>2023-12-02 13:46:52</t>
  </si>
  <si>
    <t>[{"id":"a17455c6-6016-48b5-95c0-933ae258bf5c","super_type":"SUPERTYPE_UNSPECIFIED","total_offer_discount":120,"discount_share":{"swiggy_discount":36,"store_discount":84,"alliance_discount":0},"discount_type":"PERCENTAGE","description":"60% off","fixed_charges":{"gp":{"id":"","final_price":0}}}]</t>
  </si>
  <si>
    <t>2023-11-26 13:41:26</t>
  </si>
  <si>
    <t>2023-11-26 13:41:50</t>
  </si>
  <si>
    <t>Tharavadu family restaurant</t>
  </si>
  <si>
    <t>1st FLOOR, NO.116/1, HOSUR MAIN ROAD, MANGAMMANAPALYA CROSS, BOMMANAHALLI , Bommenahalli , Bangalore South, Bangalore Urban, Karnataka-560068</t>
  </si>
  <si>
    <t>Hosur Main Road</t>
  </si>
  <si>
    <t>12.906146,77.629745</t>
  </si>
  <si>
    <t>Bommanahalli</t>
  </si>
  <si>
    <t>[{"id":"3be8626e-f3e3-4950-bcca-639767fe94cf","super_type":"SUPERTYPE_UNSPECIFIED","total_offer_discount":100,"discount_share":{"swiggy_discount":0,"store_discount":100,"alliance_discount":0},"discount_type":"FLAT","description":"FLAT100 off","fixed_charges":{"gp":{"id":"","final_price":0}}}]</t>
  </si>
  <si>
    <t>2023-11-23 14:43:51</t>
  </si>
  <si>
    <t>2023-11-23 14:44:09</t>
  </si>
  <si>
    <t>The Best Thickshakes Co</t>
  </si>
  <si>
    <t>1237, Sri Sai Crystal 17th cross, 5th Main Rd, HSR Layout, Bengaluru, Karnataka 560102</t>
  </si>
  <si>
    <t>5th Main Rd</t>
  </si>
  <si>
    <t>12.912028,77.632327</t>
  </si>
  <si>
    <t>HSR</t>
  </si>
  <si>
    <t>KINGK50</t>
  </si>
  <si>
    <t>[{"id":"03ca3c14-fff6-467e-ae52-d8c251b67a76","super_type":"SUPERTYPE_UNSPECIFIED","total_offer_discount":50.01,"discount_share":{"swiggy_discount":50.01,"store_discount":0,"alliance_discount":0},"discount_type":"FLAT","description":"Flat ₹200 off","fixed_charges":{"gp":{"id":"","final_price":0}},"applied_as":"SHADOW","base_offers":[{"offer_id":"92c138b0-4008-4a46-83f9-f28b6636521d","coupon_code":"WORLDCUPMANIA"}]},{"id":"92c138b0-4008-4a46-83f9-f28b6636521d","super_type":"SUPERTYPE_UNSPECIFIED","total_offer_discount":149.97,"discount_share":{"swiggy_discount":30.01,"store_discount":119.96,"alliance_discount":0},"discount_type":"FLAT","description":"FLAT150 off","fixed_charges":{"gp":{"id":"","final_price":0}}}]</t>
  </si>
  <si>
    <t>2023-11-15 19:00:06</t>
  </si>
  <si>
    <t>2023-11-15 19:00:24</t>
  </si>
  <si>
    <t>2023-11-08 19:23:36</t>
  </si>
  <si>
    <t>2023-11-08 19:23:57</t>
  </si>
  <si>
    <t>Wow! Momo</t>
  </si>
  <si>
    <t>WOW MOMO NO1 120 14th main road 5th sector HSR layout Bangalore BTM layout BBMP south  Karnataka  560102</t>
  </si>
  <si>
    <t>5th sector</t>
  </si>
  <si>
    <t>12.9161961,77.6377847</t>
  </si>
  <si>
    <t>2023-11-07 19:16:54</t>
  </si>
  <si>
    <t>2023-11-07 19:17:27</t>
  </si>
  <si>
    <t>Doddakanneli Village</t>
  </si>
  <si>
    <t>12.9092988,77.6877346</t>
  </si>
  <si>
    <t>WORLDCUPMANIA</t>
  </si>
  <si>
    <t>[{"id":"fcc09378-6922-4b80-a505-f2cda5e1f89c","super_type":"SUPERTYPE_UNSPECIFIED","total_offer_discount":150,"discount_share":{"swiggy_discount":75,"store_discount":75,"alliance_discount":0},"discount_type":"FLAT","description":"FLAT150 off","fixed_charges":{"gp":{"id":"","final_price":0}}}]</t>
  </si>
  <si>
    <t>2023-11-05 11:25:39</t>
  </si>
  <si>
    <t>2023-11-05 11:25:54</t>
  </si>
  <si>
    <t>12.91183127,77.64382903</t>
  </si>
  <si>
    <t>[{"id":"078f55cb-bc8e-4ef0-bdc1-3980cdc6873c","super_type":"SUPERTYPE_UNSPECIFIED","total_offer_discount":150,"discount_share":{"swiggy_discount":45,"store_discount":105,"alliance_discount":0},"discount_type":"FLAT","description":"FLAT150 off","fixed_charges":{"gp":{"id":"","final_price":0}}}]</t>
  </si>
  <si>
    <t>2023-11-04 20:05:23</t>
  </si>
  <si>
    <t>2023-11-04 20:05:40</t>
  </si>
  <si>
    <t>2023-11-04 09:55:41</t>
  </si>
  <si>
    <t>2023-11-04 09:55:59</t>
  </si>
  <si>
    <t>Dosa Chicken &amp; Tiffins</t>
  </si>
  <si>
    <t>235, 9th Main Road, Sector 7, HSR Layout, Sector 7, HSR Layout, Bengaluru, Karnataka 560102</t>
  </si>
  <si>
    <t>12.912837,77.63510900000006</t>
  </si>
  <si>
    <t>[{"id":"56bb9bfb-bb7d-4334-9bfa-0b49fa1625e7","super_type":"SUPERTYPE_UNSPECIFIED","total_offer_discount":50,"discount_share":{"swiggy_discount":25,"store_discount":25,"alliance_discount":0},"discount_type":"PERCENTAGE","description":"20% off","fixed_charges":{"gp":{"id":"","final_price":0}}}]</t>
  </si>
  <si>
    <t>2023-10-26 14:12:16</t>
  </si>
  <si>
    <t>2023-10-26 14:12:30</t>
  </si>
  <si>
    <t>2023-10-25 19:37:59</t>
  </si>
  <si>
    <t>2023-10-25 19:38:20</t>
  </si>
  <si>
    <t>The Himalayan Momo Company</t>
  </si>
  <si>
    <t>73, 27 th Main Road,Phase 3, Agara Village,1 st Sector</t>
  </si>
  <si>
    <t>12.920751,77.650396</t>
  </si>
  <si>
    <t>LUNCHBINGE</t>
  </si>
  <si>
    <t>[{"id":"ea6bee14-f548-4089-84e7-e3203d403723","super_type":"SUPERTYPE_UNSPECIFIED","total_offer_discount":99.99,"discount_share":{"swiggy_discount":30,"store_discount":69.99,"alliance_discount":0},"discount_type":"FLAT","description":"FLAT100 off","fixed_charges":{"gp":{"id":"","final_price":0}}}]</t>
  </si>
  <si>
    <t>2023-10-24 11:14:20</t>
  </si>
  <si>
    <t>2023-10-24 11:14:46</t>
  </si>
  <si>
    <t>NO.1560/1435/33, K SOMASHEKHAR REDDY, KAIKONDRAHALLI, BANGALORE., Mahadevapura , B.B.M.P East, Karnataka-560035</t>
  </si>
  <si>
    <t>12.9075344,77.67582123</t>
  </si>
  <si>
    <t>UPIIntent</t>
  </si>
  <si>
    <t>[{"id":"3bd1bb74-de3a-4270-a72c-02c43dcf7ce4","super_type":"SUPERTYPE_UNSPECIFIED","total_offer_discount":150,"discount_share":{"swiggy_discount":75,"store_discount":75,"alliance_discount":0},"discount_type":"FLAT","description":"FLAT150 off","fixed_charges":{"gp":{"id":"","final_price":0}}}]</t>
  </si>
  <si>
    <t>2023-10-22 20:25:28</t>
  </si>
  <si>
    <t>2023-10-22 20:25:40</t>
  </si>
  <si>
    <t>[{"id":"8f719de5-eb1b-4866-993e-5d0ef85a8583","super_type":"SUPERTYPE_UNSPECIFIED","total_offer_discount":149.98000000000002,"discount_share":{"swiggy_discount":30,"store_discount":119.98,"alliance_discount":0},"discount_type":"FLAT","description":"FLAT150 off","fixed_charges":{"gp":{"id":"","final_price":0}}}]</t>
  </si>
  <si>
    <t>2023-10-22 11:17:21</t>
  </si>
  <si>
    <t>2023-10-22 11:17:36</t>
  </si>
  <si>
    <t>2023-10-21 18:54:35</t>
  </si>
  <si>
    <t>2023-10-21 18:54:52</t>
  </si>
  <si>
    <t>Kairali Restaurant</t>
  </si>
  <si>
    <t>32/21 near Maruti showroom outer ring road belladur Bangalore</t>
  </si>
  <si>
    <t>Outer Ring Road</t>
  </si>
  <si>
    <t>12.928069,77.679204</t>
  </si>
  <si>
    <t>TRYNEW-XL</t>
  </si>
  <si>
    <t>[{"id":"b78bb0be-4ca2-4b04-af1e-66e991460b12","super_type":"SUPERTYPE_UNSPECIFIED","total_offer_discount":62.099999999999994,"discount_share":{"swiggy_discount":18.63,"store_discount":43.47,"alliance_discount":0},"discount_type":"PERCENTAGE","description":"30% off","fixed_charges":{"gp":{"id":"","final_price":0}}}]</t>
  </si>
  <si>
    <t>2023-10-19 07:58:24</t>
  </si>
  <si>
    <t>2023-10-19 07:58:54</t>
  </si>
  <si>
    <t>Asha tiffins</t>
  </si>
  <si>
    <t>Asha Tiffins, 5th Main Road, Sector 7, HSR Layout, Bengaluru, Karnataka, India</t>
  </si>
  <si>
    <t>12.911856,77.6325489999999</t>
  </si>
  <si>
    <t>[{"id":"6ee62658-3aa8-497e-8248-ac41eba5d5ef","super_type":"SUPERTYPE_UNSPECIFIED","total_offer_discount":50,"discount_share":{"swiggy_discount":15,"store_discount":35,"alliance_discount":0},"discount_type":"PERCENTAGE","description":"20% off","fixed_charges":{"gp":{"id":"","final_price":0}}}]</t>
  </si>
  <si>
    <t>2023-10-09 18:36:35</t>
  </si>
  <si>
    <t>2023-10-09 18:36:50</t>
  </si>
  <si>
    <t>Imperio Restaurant</t>
  </si>
  <si>
    <t>imperio restaurant , 495, 17th Cross Rd, Parangi Palaya, Sector 2, HSR Layout, Bengaluru, Karnataka</t>
  </si>
  <si>
    <t>Sector 2</t>
  </si>
  <si>
    <t>12.91181824,77.6495233</t>
  </si>
  <si>
    <t>2023-09-29 10:42:32</t>
  </si>
  <si>
    <t>2023-09-29 10:42:49</t>
  </si>
  <si>
    <t>[{"id":"60385055-547d-4c3b-bef2-75f14c9cfb0d","super_type":"SUPERTYPE_UNSPECIFIED","total_offer_discount":119.99,"discount_share":{"swiggy_discount":36,"store_discount":83.99,"alliance_discount":0},"discount_type":"PERCENTAGE","description":"60% off","fixed_charges":{"gp":{"id":"","final_price":0}}}]</t>
  </si>
  <si>
    <t>2023-09-25 16:02:34</t>
  </si>
  <si>
    <t>2023-09-25 16:03:35</t>
  </si>
  <si>
    <t>2023-09-23 15:56:11</t>
  </si>
  <si>
    <t>2023-09-23 15:56:34</t>
  </si>
  <si>
    <t>HSR Freshcane Juice</t>
  </si>
  <si>
    <t>NO 2333, 24TH MAIN,17TH CROSS SECTOR NO 1, HSR LAYOUT, Bommanahalli , B.B.M.P South, , Karnataka, 560102</t>
  </si>
  <si>
    <t>12.912110164242,77.648900840197</t>
  </si>
  <si>
    <t>[{"id":"0c2819fc-1836-431a-8677-00e94af123b8","super_type":"SUPERTYPE_UNSPECIFIED","total_offer_discount":49.99,"discount_share":{"swiggy_discount":15,"store_discount":34.99,"alliance_discount":0},"discount_type":"PERCENTAGE","description":"20% off","fixed_charges":{"gp":{"id":"","final_price":0}}}]</t>
  </si>
  <si>
    <t>2023-09-19 12:11:47</t>
  </si>
  <si>
    <t>2023-09-19 12:12:10</t>
  </si>
  <si>
    <t>2023-09-18 11:09:42</t>
  </si>
  <si>
    <t>2023-09-18 11:10:02</t>
  </si>
  <si>
    <t>SPECIALS</t>
  </si>
  <si>
    <t>[{"id":"73f920b6-b8d2-4b29-b4a9-72846208860d","super_type":"SUPERTYPE_UNSPECIFIED","total_offer_discount":80,"discount_share":{"swiggy_discount":32,"store_discount":48,"alliance_discount":0},"discount_type":"PERCENTAGE","description":"40% off","fixed_charges":{"gp":{"id":"","final_price":0}}}]</t>
  </si>
  <si>
    <t>2023-09-12 16:23:04</t>
  </si>
  <si>
    <t>2023-09-12 16:23:21</t>
  </si>
  <si>
    <t>PARTY</t>
  </si>
  <si>
    <t>[{"id":"1178c39c-98d9-4510-b5b7-122edfb7e4fc","super_type":"SUPERTYPE_UNSPECIFIED","total_offer_discount":138,"discount_share":{"swiggy_discount":0,"store_discount":138,"alliance_discount":0},"discount_type":"PERCENTAGE","description":"10% off","fixed_charges":{"gp":{"id":"","final_price":0}}}]</t>
  </si>
  <si>
    <t>2023-09-10 23:55:33</t>
  </si>
  <si>
    <t>2023-09-10 23:55:52</t>
  </si>
  <si>
    <t>Plan B</t>
  </si>
  <si>
    <t>No 2324, 17th Cross Road, 1st Sector, HSR Layout, Bengaluru, Karnataka 560012</t>
  </si>
  <si>
    <t>12.912120631518187,77.65069759736535</t>
  </si>
  <si>
    <t>[{"id":"1178c39c-98d9-4510-b5b7-122edfb7e4fc","super_type":"SUPERTYPE_UNSPECIFIED","total_offer_discount":197,"discount_share":{"swiggy_discount":0,"store_discount":197,"alliance_discount":0},"discount_type":"PERCENTAGE","description":"10% off","fixed_charges":{"gp":{"id":"","final_price":0}}}]</t>
  </si>
  <si>
    <t>2023-09-08 21:49:47</t>
  </si>
  <si>
    <t>2023-09-08 21:50:07</t>
  </si>
  <si>
    <t>[{"id":"6ca97531-301c-4632-a58f-646d0afd9e01","super_type":"SUPERTYPE_UNSPECIFIED","total_offer_discount":39.8,"discount_share":{"swiggy_discount":0,"store_discount":39.8,"alliance_discount":0},"discount_type":"PERCENTAGE","description":"10% off","fixed_charges":{"gp":{"id":"","final_price":0}}}]</t>
  </si>
  <si>
    <t>2023-09-03 10:46:35</t>
  </si>
  <si>
    <t>Drunken Monkey</t>
  </si>
  <si>
    <t>No.634 ground floor,5th cross,15th main ,4th block,kormangala (near chinmaya vidyalaya school),bangalore 560034</t>
  </si>
  <si>
    <t>4th Block</t>
  </si>
  <si>
    <t>12.934488559072948,77.62886978481599</t>
  </si>
  <si>
    <t>[{"id":"f80596b9-9db2-47d0-98be-dbdde4df4855","super_type":"SUPERTYPE_UNSPECIFIED","total_offer_discount":100,"discount_share":{"swiggy_discount":0,"store_discount":100,"alliance_discount":0},"discount_type":"PERCENTAGE","description":"50% off","fixed_charges":{"gp":{"id":"","final_price":0}}}]</t>
  </si>
  <si>
    <t>2023-09-02 21:21:56</t>
  </si>
  <si>
    <t>WEEKENDS</t>
  </si>
  <si>
    <t>[{"id":"e7ca910b-b1f7-4fca-81aa-29bb167a90b0","super_type":"SUPERTYPE_UNSPECIFIED","total_offer_discount":125,"discount_share":{"swiggy_discount":50,"store_discount":75,"alliance_discount":0},"discount_type":"FLAT","description":"Flat ₹125 off","fixed_charges":{"gp":{"id":"","final_price":0}}}]</t>
  </si>
  <si>
    <t>2023-09-02 13:29:33</t>
  </si>
  <si>
    <t>NO.35, 80FEET ROAD, HAL 3RD STAGE, BANGALORE  B.B.M.P East Karnataka 560075</t>
  </si>
  <si>
    <t>Indiranagar</t>
  </si>
  <si>
    <t>12.97107,77.647521</t>
  </si>
  <si>
    <t>2023-08-30 11:40:45</t>
  </si>
  <si>
    <t>Truffles</t>
  </si>
  <si>
    <t>BUNDL TECHNOLOGIES PVT LTD, 1ST FLOOR, SITE NO.164, KHATA NO.684, PID NO: 658/668/684/1/164/1, BELLANDURVILLAGE, VARTHUR HOBLI, BANGALORE EAST TALUK  560103</t>
  </si>
  <si>
    <t>Green Glen Layout</t>
  </si>
  <si>
    <t>12.927332,77.669014</t>
  </si>
  <si>
    <t>2023-08-27 19:47:38</t>
  </si>
  <si>
    <t>Istah - The Mediterranean Way</t>
  </si>
  <si>
    <t>88/1, Ward No, 66, Swiggy Koramangala Super Hub building, Sarjapur Road, Jakkasandra Village, Bangalore 560034</t>
  </si>
  <si>
    <t>12.925114189248388,77.6370633020997</t>
  </si>
  <si>
    <t>[{"id":"299a513a-6f7c-458c-86bb-38f205d6dbd9","super_type":"SUPERTYPE_UNSPECIFIED","total_offer_discount":109.5,"discount_share":{"swiggy_discount":21.9,"store_discount":87.6,"alliance_discount":0},"discount_type":"PERCENTAGE","description":"25% off","fixed_charges":{"gp":{"id":"","final_price":0}}}]</t>
  </si>
  <si>
    <t>2023-08-24 21:46:11</t>
  </si>
  <si>
    <t>The Thick Shake Factory</t>
  </si>
  <si>
    <t>#NO.104, SHIVALAYA, 17TH C MAIN ROAD, 5TH CROSS, KORAMANGALA, 5 TH BLOCK, BANGALORE,560095,Next to Acura Speciality Hospital,pivotal 4th floor. Karnataka - 560095</t>
  </si>
  <si>
    <t>12.935401,77.620598</t>
  </si>
  <si>
    <t>2023-08-15 22:04:33</t>
  </si>
  <si>
    <t>Kerala Panoor Restaurant</t>
  </si>
  <si>
    <t>Devarabeesanahalli Flyover, Devarabisanahalli, Bellandur, Bengaluru, Karnataka 560103</t>
  </si>
  <si>
    <t>Devarabisanahalli</t>
  </si>
  <si>
    <t>12.930556,77.68499199999997</t>
  </si>
  <si>
    <t>2023-08-13 12:07:31</t>
  </si>
  <si>
    <t>FreshMenu</t>
  </si>
  <si>
    <t>[{"id":"6706ebc3-55e8-475e-aba5-bc6ec3ab1f6b","super_type":"SUPERTYPE_UNSPECIFIED","total_offer_discount":119.49000000000001,"discount_share":{"swiggy_discount":23.9,"store_discount":95.59,"alliance_discount":0},"discount_type":"PERCENTAGE","description":"25% off","fixed_charges":{"gp":{"id":"","final_price":0}}}]</t>
  </si>
  <si>
    <t>2023-08-09 14:42:32</t>
  </si>
  <si>
    <t>#87, 14TH MAIN ROAD, 4TH SECTOR, OPP: 
BDA COMPLEX, HSR LAYOUT BANGALORE-560102, Sangeetha mobile showroom Besment</t>
  </si>
  <si>
    <t>4th sector</t>
  </si>
  <si>
    <t>12.9125116379822,77.63817068570162</t>
  </si>
  <si>
    <t>2023-08-09 13:50:36</t>
  </si>
  <si>
    <t>12.9000771,77.640061</t>
  </si>
  <si>
    <t>[{"id":"0fefcb58-9f41-444e-9e59-52c620b546b5","super_type":"SUPERTYPE_UNSPECIFIED","total_offer_discount":100,"discount_share":{"swiggy_discount":25,"store_discount":75,"alliance_discount":0},"discount_type":"PERCENTAGE","description":"50% off","fixed_charges":{"gp":{"id":"","final_price":0}}}]</t>
  </si>
  <si>
    <t>2023-08-08 14:13:36</t>
  </si>
  <si>
    <t>La Pino'z Pizza</t>
  </si>
  <si>
    <t>La Pino'z Pizza, #11/50/3, Ambalipura, Village, Sarjapur - Marathahalli Rd, Bengaluru, Karnataka 560103</t>
  </si>
  <si>
    <t>Sarjapur - Marathahalli Rd</t>
  </si>
  <si>
    <t>12.919644,77.667114</t>
  </si>
  <si>
    <t>2023-08-06 11:26:46</t>
  </si>
  <si>
    <t>12.927332,77.66901400000006</t>
  </si>
  <si>
    <t>2023-07-16 10:11:39</t>
  </si>
  <si>
    <t>Cafe Amudham</t>
  </si>
  <si>
    <t>No. 146, 5th Block, Koramangala, Bangalore, BTM Layout , B.B.M.P South, Karnataka-560095</t>
  </si>
  <si>
    <t>5th Block Kormangala</t>
  </si>
  <si>
    <t>12.933842204939534,77.61976898008312</t>
  </si>
  <si>
    <t>2023-07-09 10:28:44</t>
  </si>
  <si>
    <t>Table for Tous</t>
  </si>
  <si>
    <t>146, 2nd Floor, HSR Layout, Sector 5, Ring Road, Bangalore, BTM Layout , B.B.M.P South, Karnataka - 560102</t>
  </si>
  <si>
    <t>4th Sector</t>
  </si>
  <si>
    <t>12.916462690900852,77.63573539639873</t>
  </si>
  <si>
    <t>[{"id":"981538f4-8587-489a-8b69-63a10fd9983e","super_type":"SUPERTYPE_UNSPECIFIED","total_offer_discount":35.8,"discount_share":{"swiggy_discount":7.16,"store_discount":28.64,"alliance_discount":0},"discount_type":"PERCENTAGE","description":"20% off","fixed_charges":{"gp":{"id":"","final_price":0}}}]</t>
  </si>
  <si>
    <t>2023-07-08 09:14:15</t>
  </si>
  <si>
    <t>order_items.name</t>
  </si>
  <si>
    <t>order_items.is_veg</t>
  </si>
  <si>
    <t>order_items.quantity</t>
  </si>
  <si>
    <t>Michel (Chicken &amp; Mozza Sandwich)</t>
  </si>
  <si>
    <t>Supreme Boneless Chicken Biryani</t>
  </si>
  <si>
    <t>Mutton Bone Soup</t>
  </si>
  <si>
    <t>Mississippi Mud Pie</t>
  </si>
  <si>
    <t>Apple Crumble Pie</t>
  </si>
  <si>
    <t>Banana Peanutbutter Overnight Oats [350kcals][20gm protein]</t>
  </si>
  <si>
    <t>Dark Chocolate Smoothie Bowl.</t>
  </si>
  <si>
    <t>Chicken Kheema Lasagne</t>
  </si>
  <si>
    <t>Corn &amp; Pepper Lasagne</t>
  </si>
  <si>
    <t>Veg. Ramyun</t>
  </si>
  <si>
    <t>Chicken Katsu Ramyun</t>
  </si>
  <si>
    <t>Onion Rings</t>
  </si>
  <si>
    <t>Cajun Spiced Fries</t>
  </si>
  <si>
    <t>Special Pandi Curry Thali</t>
  </si>
  <si>
    <t>Overload Brownie [1 Piece]</t>
  </si>
  <si>
    <t>Chocolate Mousse Cup [100g]</t>
  </si>
  <si>
    <t>Millionaire Brownie [1 Piece]</t>
  </si>
  <si>
    <t>Koli Curry With Ney Kulu/Noolputtu</t>
  </si>
  <si>
    <t>Pepperoni Chicken Tikka lasagna</t>
  </si>
  <si>
    <t>Raspberry Dark Chocolate</t>
  </si>
  <si>
    <t>Dark Chocolate Chunk Sea Salt</t>
  </si>
  <si>
    <t>Smoothie Bowl Of The Day[35Gm Protein]</t>
  </si>
  <si>
    <t>Midnight Acai Delight[vegan][30-50gm Protein]</t>
  </si>
  <si>
    <t>Noolputtu (2 Pcs)</t>
  </si>
  <si>
    <t>Thith Pandi (Chilly Pork)</t>
  </si>
  <si>
    <t>Pressure Cooker Chicken Curry and Homestyle Amritsari Dal Meal</t>
  </si>
  <si>
    <t>Rasayan High Fiber Bowl[ 500gm 250kcals]</t>
  </si>
  <si>
    <t>Midnight Acai Delight [320Kcals] [25Gm-45Gm Protein]</t>
  </si>
  <si>
    <t>Wok Tossed Hakka Noodles</t>
  </si>
  <si>
    <t>Hugo (Fried Chicken &amp; Mozza Sandwich)</t>
  </si>
  <si>
    <t>Belgian Dark Chocolate Milkshake</t>
  </si>
  <si>
    <t>Chicken Fillet Burger Combo</t>
  </si>
  <si>
    <t>Single Lamb Cheese Burger</t>
  </si>
  <si>
    <t>Roasted Chicken Strip Sandwich</t>
  </si>
  <si>
    <t>B.M.T Sandwich</t>
  </si>
  <si>
    <t>High-Protein Chicken Omelette</t>
  </si>
  <si>
    <t>Chicken Pepper Dry Boneless</t>
  </si>
  <si>
    <t>Ferrero Magic</t>
  </si>
  <si>
    <t>Nutty Chocolate Sundae</t>
  </si>
  <si>
    <t>Melted Cheese Chicken Shawarma</t>
  </si>
  <si>
    <t>Nutella Cheese Cake</t>
  </si>
  <si>
    <t>Blueberry Cheese Cake</t>
  </si>
  <si>
    <t>Pork Chashu Ramyun</t>
  </si>
  <si>
    <t>Chocolate Hazelnut Cake (Nutella Cake) (Eggless)</t>
  </si>
  <si>
    <t>Tandoori Chicken Tikka Sandwich Guiltfree</t>
  </si>
  <si>
    <t>Mint Choco Chip Ice Cream [125 Ml]</t>
  </si>
  <si>
    <t>Salted Caramel Ice Cream [125 Ml]</t>
  </si>
  <si>
    <t>Lebenese Shawarma</t>
  </si>
  <si>
    <t>Mexican Green Wave Pizza</t>
  </si>
  <si>
    <t>Naked Nutella Waffle</t>
  </si>
  <si>
    <t>Salted Caramel Brownie</t>
  </si>
  <si>
    <t>Nutella Stuffed Chocochips Cookie(1 Pc)</t>
  </si>
  <si>
    <t>Chicken Kheema Cheese Paratha</t>
  </si>
  <si>
    <t>Aloo Cheese Paratha</t>
  </si>
  <si>
    <t>Big Spicy Paneer Wrap</t>
  </si>
  <si>
    <t>Trapper Creek (Buff)</t>
  </si>
  <si>
    <t>Paris Delice (Buff)</t>
  </si>
  <si>
    <t>Tandoori Chicken Tikka Cheese Pull Sandwich</t>
  </si>
  <si>
    <t>Spicy Chick'n Cheese</t>
  </si>
  <si>
    <t>Chicken Varattiyathu</t>
  </si>
  <si>
    <t>Idiyappam</t>
  </si>
  <si>
    <t>Peanut Butter &amp; Snicker Thickshake</t>
  </si>
  <si>
    <t>Choose Your Combo</t>
  </si>
  <si>
    <t>Appam (1pc)</t>
  </si>
  <si>
    <t>Tender Coconut Pudding</t>
  </si>
  <si>
    <t>Chicken Varutharacha Curry</t>
  </si>
  <si>
    <t>Chicken Darjeeling Steam Momo</t>
  </si>
  <si>
    <t>Chicken Fried Momo Mania</t>
  </si>
  <si>
    <t>Cheese Ramyun</t>
  </si>
  <si>
    <t>Dosa (2 Pcs) Chicken Curry</t>
  </si>
  <si>
    <t>Grilled Spicy Lamb Burger</t>
  </si>
  <si>
    <t>Himalayan Steamed Chicken Momos</t>
  </si>
  <si>
    <t>Ghee Gulab Jamun (2 Pcs)</t>
  </si>
  <si>
    <t>Garlic Mayo</t>
  </si>
  <si>
    <t>Nool Porota (1pc)</t>
  </si>
  <si>
    <t>Meat Curry</t>
  </si>
  <si>
    <t>Cold Coffee (275ml)</t>
  </si>
  <si>
    <t>Masala Dosa</t>
  </si>
  <si>
    <t>Idli (2 Pcs)</t>
  </si>
  <si>
    <t>Boneless Chicken Manchurian</t>
  </si>
  <si>
    <t>Chicken Kheema Paratha</t>
  </si>
  <si>
    <t>Chicken &amp; Egg Pothichoru</t>
  </si>
  <si>
    <t>Sugarcane With Ginger</t>
  </si>
  <si>
    <t>Prawns Pepper Dry</t>
  </si>
  <si>
    <t>12" Badmash Pizza</t>
  </si>
  <si>
    <t>Cajun Corn Kernels</t>
  </si>
  <si>
    <t>Fish Fingers</t>
  </si>
  <si>
    <t>Blue Berry Cheese Cake</t>
  </si>
  <si>
    <t>Firecracker Wings</t>
  </si>
  <si>
    <t>Orange Dynamite Wings</t>
  </si>
  <si>
    <t>Creamy Buffalo</t>
  </si>
  <si>
    <t>Chocolate And Love Smoothie Bowl</t>
  </si>
  <si>
    <t>Calvin Eats Nutella</t>
  </si>
  <si>
    <t>Trapper Creek</t>
  </si>
  <si>
    <t>Spaghetti Carbonara Chicken</t>
  </si>
  <si>
    <t>Istah's Chicken Shawarma in Rumali</t>
  </si>
  <si>
    <t>Belgian Chocolate Milk Shake</t>
  </si>
  <si>
    <t>Chicken Kothu Parotta</t>
  </si>
  <si>
    <t>Panoor Special Chicken Leg Fry</t>
  </si>
  <si>
    <t>Roasted Garlic Chicken Soup</t>
  </si>
  <si>
    <t>Honey Chicken Peppers</t>
  </si>
  <si>
    <t>Chicken Spaghetti Al Forno</t>
  </si>
  <si>
    <t>Belgian Chocolate Thick Shake</t>
  </si>
  <si>
    <t>Peanut Butter Indulgence Thick Shake</t>
  </si>
  <si>
    <t>Americano Pasta Non-veg</t>
  </si>
  <si>
    <t>Non Veg Club S/w</t>
  </si>
  <si>
    <t>Classic Chicken Steak</t>
  </si>
  <si>
    <t xml:space="preserve">Open Butter Masala Dosa </t>
  </si>
  <si>
    <t>Dark Chocolate Cake [350 Grams, Serves 3]</t>
  </si>
  <si>
    <t>Japanese Cotton Soft Cheesecake [125 Grams]</t>
  </si>
  <si>
    <t>Order Mod Date</t>
  </si>
  <si>
    <t>BTM</t>
  </si>
  <si>
    <t>Hosapalya</t>
  </si>
  <si>
    <t>mod restaurant name</t>
  </si>
  <si>
    <r>
      <rPr>
        <b/>
        <sz val="11"/>
        <color rgb="FFFF0000"/>
        <rFont val="Aptos Narrow"/>
        <family val="2"/>
        <scheme val="minor"/>
      </rPr>
      <t>Objective:</t>
    </r>
    <r>
      <rPr>
        <b/>
        <sz val="11"/>
        <color theme="1"/>
        <rFont val="Aptos Narrow"/>
        <family val="2"/>
        <scheme val="minor"/>
      </rPr>
      <t xml:space="preserve"> I want to analyse my own "Swiggy Behaviour"</t>
    </r>
  </si>
  <si>
    <t>What will I analyze?</t>
  </si>
  <si>
    <t>Spendings</t>
  </si>
  <si>
    <t>From Where am I ordering the most?</t>
  </si>
  <si>
    <t>Preference---&gt; Veg vs Non Veg</t>
  </si>
  <si>
    <t>Late nights, Breakfasts, evenings,…</t>
  </si>
  <si>
    <t>How much money I saved with orders after offers &amp; vouchers</t>
  </si>
  <si>
    <t>Delivery time---&gt; Avg. Delivert time, no matter what swiggy claims</t>
  </si>
  <si>
    <t>Frequency of orders</t>
  </si>
  <si>
    <t>Where are they delivering to?</t>
  </si>
  <si>
    <t>…....</t>
  </si>
  <si>
    <t>area_name code</t>
  </si>
  <si>
    <t>area_name_code</t>
  </si>
  <si>
    <t>Veg/Non-Veg</t>
  </si>
  <si>
    <t>Consider 1: veg , 0: non-veg or vice-versa</t>
  </si>
  <si>
    <t>2. How many times the Food was delivered on time &amp; delayed?</t>
  </si>
  <si>
    <t>1. Which is the most ordered type of food? Veg or Non-Veg?</t>
  </si>
  <si>
    <t>KPI</t>
  </si>
  <si>
    <t>MOM Expense( monthly number of orders &amp; revenue)</t>
  </si>
  <si>
    <t>Area wise Order Count</t>
  </si>
  <si>
    <t>Composition of Veg and Non-Veg items</t>
  </si>
  <si>
    <t>Delivery Metrics</t>
  </si>
  <si>
    <t>% of orders delivered on time</t>
  </si>
  <si>
    <t>Ranks</t>
  </si>
  <si>
    <t>1. Restraurant from where I order the most?</t>
  </si>
  <si>
    <t>2. Types of food: Veg or non-veg</t>
  </si>
  <si>
    <t>3.Weekly order summary</t>
  </si>
  <si>
    <t>4. Spend per week</t>
  </si>
  <si>
    <t>5. When do I order the most?</t>
  </si>
  <si>
    <t>brk, lunch, evening snacks, dinner</t>
  </si>
  <si>
    <t>6. Mode of payment:</t>
  </si>
  <si>
    <t>COD, UPI, Debit, Credit Card,….</t>
  </si>
  <si>
    <t>7. Rating after the delivery</t>
  </si>
  <si>
    <t>8. Any complaints/issue</t>
  </si>
  <si>
    <t>9. Ontime vs. Delayed orders</t>
  </si>
  <si>
    <t>10. Which day  I order the most?  Sun-sat</t>
  </si>
  <si>
    <t>11. Cuisine preference</t>
  </si>
  <si>
    <t>12.Coupon applied? If yes, then coupon_id---&gt; amount</t>
  </si>
  <si>
    <t>13. Do you give any  tip? Total amt =  tot_item +  tip+ delivery +  gst+ platform fee</t>
  </si>
  <si>
    <t>14. high order  food items</t>
  </si>
  <si>
    <t>15. premium member or not</t>
  </si>
  <si>
    <t>…...</t>
  </si>
  <si>
    <t>14. Most ordered food item</t>
  </si>
  <si>
    <t>1. Most ordered item</t>
  </si>
  <si>
    <t>2. Prefered restaurant</t>
  </si>
  <si>
    <t>3. Avg. Order amount</t>
  </si>
  <si>
    <t>4. Delivered vs. canceled orders</t>
  </si>
  <si>
    <t>6. Order timing :</t>
  </si>
  <si>
    <t>breakfast, brunch, lunch, evening snacks, dinner, post dinner</t>
  </si>
  <si>
    <t>5. Weekend vs. Weekday vs. holidays</t>
  </si>
  <si>
    <t>7. Food ratings by the customer</t>
  </si>
  <si>
    <t>8. Offers</t>
  </si>
  <si>
    <t>9. Type of food:</t>
  </si>
  <si>
    <t>veg, non-veg</t>
  </si>
  <si>
    <t>10. Mode of payment</t>
  </si>
  <si>
    <t>cod, upi, debit card, credit car, netbanking, payment Wallet, corporate cards--&gt; simple, pluxee,…</t>
  </si>
  <si>
    <t>11. distance analysis</t>
  </si>
  <si>
    <t>12. Cuisines:</t>
  </si>
  <si>
    <t>italian, north indian, south indian, chinese, thai,….</t>
  </si>
  <si>
    <t>13. Rain mode.</t>
  </si>
  <si>
    <t>14. refunds/returns amount</t>
  </si>
  <si>
    <t>15. money saved throuhh offers</t>
  </si>
  <si>
    <t>16. tip to the delivery boy</t>
  </si>
  <si>
    <t>analysis categories:</t>
  </si>
  <si>
    <t>1. Customer level</t>
  </si>
  <si>
    <t>2. Order_id level</t>
  </si>
  <si>
    <t>3. Timely anaysis</t>
  </si>
  <si>
    <t>4. Food item level</t>
  </si>
  <si>
    <t>5. Restaurant level</t>
  </si>
  <si>
    <t>Restaurant Names</t>
  </si>
  <si>
    <t>Total Orders</t>
  </si>
  <si>
    <t>Grand Total</t>
  </si>
  <si>
    <t>Area Codes</t>
  </si>
  <si>
    <t>Food item</t>
  </si>
  <si>
    <t>Months</t>
  </si>
  <si>
    <t>Food items</t>
  </si>
  <si>
    <t>Non-Veg</t>
  </si>
  <si>
    <t>Veg</t>
  </si>
  <si>
    <t>Type of Food</t>
  </si>
  <si>
    <t>FALSE</t>
  </si>
  <si>
    <t>TRUE</t>
  </si>
  <si>
    <t>On time Delivery?</t>
  </si>
  <si>
    <t>Q4: Toal Orders:</t>
  </si>
  <si>
    <t>Q5: Total Revenue :</t>
  </si>
  <si>
    <t>Q6: Average Order Amount:</t>
  </si>
  <si>
    <t>Q7: Most Prefered restaurant:</t>
  </si>
  <si>
    <t>Q8: Most re-ordered item:</t>
  </si>
  <si>
    <t>Swiggy Order Analysis</t>
  </si>
  <si>
    <t>Q3: Canceled Orders:</t>
  </si>
  <si>
    <t xml:space="preserve">Q1: Total Food items : </t>
  </si>
  <si>
    <t>Q2: Count of each food item ordered:</t>
  </si>
  <si>
    <t>Monthly  spending behaviour:</t>
  </si>
  <si>
    <t>Number of orders from different area codes.</t>
  </si>
  <si>
    <t>Food item which is ordered the most from each area.</t>
  </si>
  <si>
    <t>From which restaurant most orders have been placed?</t>
  </si>
  <si>
    <t>How many orders are placed from the different restaurants so far? Also show it as a visual</t>
  </si>
  <si>
    <t>Orders Trend</t>
  </si>
  <si>
    <t>Sum of order_total</t>
  </si>
  <si>
    <t>Key Insights:</t>
  </si>
  <si>
    <t>1. Order volume shows clear peak periods, indicating higher demand during specific days and time slots.</t>
  </si>
  <si>
    <t>2. A few cities contribute a significant share of total revenue, highlighting high-performing markets.</t>
  </si>
  <si>
    <t>3. Top 5 restaurants account for a large portion of revenue, indicating revenue concentration among key partners.</t>
  </si>
  <si>
    <t>4. Evening and dinner time slots generate the highest number of orders, reflecting customer ordering behavior.</t>
  </si>
  <si>
    <t>5. Order trends indicate consistent demand with occasional spikes during peak periods.</t>
  </si>
  <si>
    <t>Top Restaurants By Revenue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</si>
  <si>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</si>
  <si>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</si>
  <si>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</si>
  <si>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</si>
  <si>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</si>
  <si>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</si>
  <si>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</si>
  <si>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</si>
  <si>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</si>
  <si>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</si>
  <si>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</si>
  <si>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month</t>
  </si>
  <si>
    <t>total_orders</t>
  </si>
  <si>
    <t>Monthly Orders Count</t>
  </si>
  <si>
    <t>Monthly Revenue</t>
  </si>
  <si>
    <t>total_revenue</t>
  </si>
  <si>
    <t>Top 5 Restaurants by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</si>
</sst>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[$-F800]dddd\,\ mmmm\ dd\,\ yyyy"/>
    <numFmt numFmtId="165" formatCode="&quot;₹&quot;\ #,##0.00"/>
    <numFmt numFmtId="166" formatCode="0.00\ &quot;Km&quot;"/>
    <numFmt numFmtId="167" formatCode="0.00\ &quot;Mins&quot;"/>
    <numFmt numFmtId="168" formatCode="0.00\ &quot;mins&quot;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u/>
      <sz val="18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9">
    <xf numFmtId="0" fontId="0" fillId="0" borderId="0" xfId="0"/>
    <xf numFmtId="0" fontId="0" fillId="3" borderId="0" xfId="0" applyFill="1"/>
    <xf numFmtId="1" fontId="0" fillId="3" borderId="0" xfId="0" applyNumberFormat="1" applyFill="1"/>
    <xf numFmtId="16" fontId="0" fillId="0" borderId="0" xfId="0" applyNumberFormat="1"/>
    <xf numFmtId="164" fontId="0" fillId="3" borderId="0" xfId="0" applyNumberFormat="1" applyFill="1"/>
    <xf numFmtId="0" fontId="0" fillId="6" borderId="0" xfId="0" applyFill="1"/>
    <xf numFmtId="0" fontId="0" fillId="0" borderId="1" xfId="0" applyBorder="1"/>
    <xf numFmtId="0" fontId="1" fillId="0" borderId="0" xfId="0" applyFont="1"/>
    <xf numFmtId="1" fontId="3" fillId="2" borderId="1" xfId="0" applyNumberFormat="1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" fontId="4" fillId="4" borderId="1" xfId="0" applyNumberFormat="1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1" fontId="4" fillId="3" borderId="1" xfId="0" applyNumberFormat="1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7" borderId="1" xfId="0" applyFont="1" applyFill="1" applyBorder="1"/>
    <xf numFmtId="0" fontId="6" fillId="0" borderId="1" xfId="0" applyFont="1" applyBorder="1"/>
    <xf numFmtId="0" fontId="7" fillId="0" borderId="0" xfId="0" applyFont="1"/>
    <xf numFmtId="1" fontId="3" fillId="7" borderId="1" xfId="0" applyNumberFormat="1" applyFont="1" applyFill="1" applyBorder="1"/>
    <xf numFmtId="0" fontId="3" fillId="7" borderId="1" xfId="0" applyFont="1" applyFill="1" applyBorder="1"/>
    <xf numFmtId="0" fontId="2" fillId="0" borderId="0" xfId="0" applyFont="1"/>
    <xf numFmtId="0" fontId="9" fillId="0" borderId="0" xfId="0" applyFont="1"/>
    <xf numFmtId="0" fontId="3" fillId="0" borderId="0" xfId="0" applyFont="1"/>
    <xf numFmtId="14" fontId="8" fillId="0" borderId="0" xfId="0" applyNumberFormat="1" applyFont="1"/>
    <xf numFmtId="0" fontId="7" fillId="0" borderId="0" xfId="0" quotePrefix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horizontal="left"/>
    </xf>
    <xf numFmtId="0" fontId="1" fillId="6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10" fontId="0" fillId="0" borderId="0" xfId="0" applyNumberFormat="1"/>
    <xf numFmtId="167" fontId="3" fillId="0" borderId="0" xfId="0" applyNumberFormat="1" applyFont="1" applyAlignment="1">
      <alignment horizontal="center" vertical="center"/>
    </xf>
    <xf numFmtId="10" fontId="0" fillId="6" borderId="0" xfId="2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7" fillId="6" borderId="0" xfId="0" applyFont="1" applyFill="1"/>
    <xf numFmtId="0" fontId="3" fillId="6" borderId="1" xfId="0" applyFont="1" applyFill="1" applyBorder="1"/>
    <xf numFmtId="0" fontId="4" fillId="4" borderId="11" xfId="0" applyFont="1" applyFill="1" applyBorder="1"/>
    <xf numFmtId="0" fontId="0" fillId="3" borderId="1" xfId="0" applyFill="1" applyBorder="1"/>
    <xf numFmtId="0" fontId="3" fillId="0" borderId="1" xfId="0" applyFont="1" applyBorder="1"/>
    <xf numFmtId="14" fontId="4" fillId="4" borderId="1" xfId="0" applyNumberFormat="1" applyFont="1" applyFill="1" applyBorder="1"/>
    <xf numFmtId="14" fontId="4" fillId="4" borderId="11" xfId="0" applyNumberFormat="1" applyFont="1" applyFill="1" applyBorder="1"/>
    <xf numFmtId="168" fontId="1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4" fontId="13" fillId="0" borderId="3" xfId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5" fillId="12" borderId="0" xfId="0" applyFont="1" applyFill="1" applyAlignment="1">
      <alignment horizontal="center" vertical="center"/>
    </xf>
    <xf numFmtId="44" fontId="13" fillId="9" borderId="12" xfId="1" applyFont="1" applyFill="1" applyBorder="1" applyAlignment="1">
      <alignment horizontal="center"/>
    </xf>
    <xf numFmtId="44" fontId="13" fillId="9" borderId="1" xfId="1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8" fontId="13" fillId="11" borderId="10" xfId="0" applyNumberFormat="1" applyFont="1" applyFill="1" applyBorder="1" applyAlignment="1">
      <alignment horizontal="center"/>
    </xf>
    <xf numFmtId="168" fontId="13" fillId="11" borderId="2" xfId="0" applyNumberFormat="1" applyFont="1" applyFill="1" applyBorder="1" applyAlignment="1">
      <alignment horizontal="center"/>
    </xf>
    <xf numFmtId="166" fontId="3" fillId="10" borderId="10" xfId="0" applyNumberFormat="1" applyFont="1" applyFill="1" applyBorder="1" applyAlignment="1">
      <alignment horizontal="center"/>
    </xf>
    <xf numFmtId="166" fontId="3" fillId="10" borderId="2" xfId="0" applyNumberFormat="1" applyFont="1" applyFill="1" applyBorder="1" applyAlignment="1">
      <alignment horizont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8" fillId="6" borderId="4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7" xfId="0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2F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'Restaurant Level Analysis'!$B$1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'Restaurant Level Analysis'!$A$2:$A$44</c:f>
              <c:strCache>
                <c:ptCount val="43"/>
                <c:pt idx="0">
                  <c:v>Paris Panini - Gourmet Sandwiches &amp; Wraps</c:v>
                </c:pt>
                <c:pt idx="1">
                  <c:v>Nandhana Palace</c:v>
                </c:pt>
                <c:pt idx="2">
                  <c:v>The Ganache Factory - Cakes &amp; Desserts</c:v>
                </c:pt>
                <c:pt idx="3">
                  <c:v>Rasayan</c:v>
                </c:pt>
                <c:pt idx="4">
                  <c:v>Firangi Bake</c:v>
                </c:pt>
                <c:pt idx="5">
                  <c:v>Daily Sushi</c:v>
                </c:pt>
                <c:pt idx="6">
                  <c:v>Naalnaad Mane</c:v>
                </c:pt>
                <c:pt idx="7">
                  <c:v>Theobroma</c:v>
                </c:pt>
                <c:pt idx="8">
                  <c:v>Love And Crumble</c:v>
                </c:pt>
                <c:pt idx="9">
                  <c:v>Homely</c:v>
                </c:pt>
                <c:pt idx="10">
                  <c:v>Chowman</c:v>
                </c:pt>
                <c:pt idx="11">
                  <c:v>Frozen Bottle - Milkshakes, Desserts And Ice Cream</c:v>
                </c:pt>
                <c:pt idx="12">
                  <c:v>Leon's - Burgers &amp; Wings (Leon Grill)</c:v>
                </c:pt>
                <c:pt idx="13">
                  <c:v>Subway</c:v>
                </c:pt>
                <c:pt idx="14">
                  <c:v>Bowl Soul</c:v>
                </c:pt>
                <c:pt idx="15">
                  <c:v>Sundae Everyday Ice Creams</c:v>
                </c:pt>
                <c:pt idx="16">
                  <c:v>Smoky Docky</c:v>
                </c:pt>
                <c:pt idx="17">
                  <c:v>NOTO - Ice Creams &amp; Desserts</c:v>
                </c:pt>
                <c:pt idx="18">
                  <c:v>Baba Ganoush</c:v>
                </c:pt>
                <c:pt idx="19">
                  <c:v>Domino's Pizza</c:v>
                </c:pt>
                <c:pt idx="20">
                  <c:v>The Belgian Waffle Co.</c:v>
                </c:pt>
                <c:pt idx="21">
                  <c:v>Paratha Envy</c:v>
                </c:pt>
                <c:pt idx="22">
                  <c:v>McDonald's</c:v>
                </c:pt>
                <c:pt idx="23">
                  <c:v>Burger Seigneur</c:v>
                </c:pt>
                <c:pt idx="24">
                  <c:v>Tharavadu family restaurant</c:v>
                </c:pt>
                <c:pt idx="25">
                  <c:v>The Best Thickshakes Co</c:v>
                </c:pt>
                <c:pt idx="26">
                  <c:v>Wow! Momo</c:v>
                </c:pt>
                <c:pt idx="27">
                  <c:v>Dosa Chicken &amp; Tiffins</c:v>
                </c:pt>
                <c:pt idx="28">
                  <c:v>The Himalayan Momo Company</c:v>
                </c:pt>
                <c:pt idx="29">
                  <c:v>Kairali Restaurant</c:v>
                </c:pt>
                <c:pt idx="30">
                  <c:v>Asha tiffins</c:v>
                </c:pt>
                <c:pt idx="31">
                  <c:v>Imperio Restaurant</c:v>
                </c:pt>
                <c:pt idx="32">
                  <c:v>HSR Freshcane Juice</c:v>
                </c:pt>
                <c:pt idx="33">
                  <c:v>Plan B</c:v>
                </c:pt>
                <c:pt idx="34">
                  <c:v>Drunken Monkey</c:v>
                </c:pt>
                <c:pt idx="35">
                  <c:v>Truffles</c:v>
                </c:pt>
                <c:pt idx="36">
                  <c:v>Istah - The Mediterranean Way</c:v>
                </c:pt>
                <c:pt idx="37">
                  <c:v>The Thick Shake Factory</c:v>
                </c:pt>
                <c:pt idx="38">
                  <c:v>Kerala Panoor Restaurant</c:v>
                </c:pt>
                <c:pt idx="39">
                  <c:v>FreshMenu</c:v>
                </c:pt>
                <c:pt idx="40">
                  <c:v>La Pino'z Pizza</c:v>
                </c:pt>
                <c:pt idx="41">
                  <c:v>Cafe Amudham</c:v>
                </c:pt>
                <c:pt idx="42">
                  <c:v>Table for Tous</c:v>
                </c:pt>
              </c:strCache>
            </c:strRef>
          </c:cat>
          <c:val>
            <c:numRef>
              <c:f>'Restaurant Level Analysis'!$B$2:$B$44</c:f>
              <c:numCache>
                <c:formatCode>General</c:formatCode>
                <c:ptCount val="43"/>
                <c:pt idx="0">
                  <c:v>6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  <c:pt idx="13">
                  <c:v>11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6-4CB0-BE0B-AF9F1B0729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4514544"/>
        <c:axId val="644516464"/>
      </c:barChart>
      <c:catAx>
        <c:axId val="64451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16464"/>
        <c:crosses val="autoZero"/>
        <c:auto val="1"/>
        <c:lblAlgn val="ctr"/>
        <c:lblOffset val="100"/>
        <c:noMultiLvlLbl val="0"/>
      </c:catAx>
      <c:valAx>
        <c:axId val="64451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1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Order Analysis.xlsx]Monthly Expenditure!PivotTable4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Expenditure'!$C$6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Expenditure'!$B$7:$B$12</c:f>
              <c:strCache>
                <c:ptCount val="5"/>
                <c:pt idx="0">
                  <c:v>Daily Sushi</c:v>
                </c:pt>
                <c:pt idx="1">
                  <c:v>Plan B</c:v>
                </c:pt>
                <c:pt idx="2">
                  <c:v>Rasayan</c:v>
                </c:pt>
                <c:pt idx="3">
                  <c:v>Subway</c:v>
                </c:pt>
                <c:pt idx="4">
                  <c:v>The Ganache Factory - Cakes &amp; Desserts</c:v>
                </c:pt>
              </c:strCache>
            </c:strRef>
          </c:cat>
          <c:val>
            <c:numRef>
              <c:f>'Monthly Expenditure'!$C$7:$C$12</c:f>
              <c:numCache>
                <c:formatCode>General</c:formatCode>
                <c:ptCount val="5"/>
                <c:pt idx="0">
                  <c:v>3337</c:v>
                </c:pt>
                <c:pt idx="1">
                  <c:v>3274</c:v>
                </c:pt>
                <c:pt idx="2">
                  <c:v>3351</c:v>
                </c:pt>
                <c:pt idx="3">
                  <c:v>3463</c:v>
                </c:pt>
                <c:pt idx="4">
                  <c:v>3645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16-44AF-8C99-3D92790EB7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72579104"/>
        <c:axId val="372580064"/>
      </c:barChart>
      <c:catAx>
        <c:axId val="3725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80064"/>
        <c:crosses val="autoZero"/>
        <c:auto val="1"/>
        <c:lblAlgn val="ctr"/>
        <c:lblOffset val="100"/>
        <c:noMultiLvlLbl val="0"/>
      </c:catAx>
      <c:valAx>
        <c:axId val="3725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79104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Order Analysis.xlsx]Area Level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%age of Orders Per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5196533386681964E-2"/>
              <c:y val="-5.88952238143462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5196533386681964E-2"/>
              <c:y val="-5.88952238143462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5196533386681964E-2"/>
              <c:y val="-5.88952238143462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'Area Level Analysis'!$C$3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C1-4991-BDE6-BD349388A7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C1-4991-BDE6-BD349388A7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C1-4991-BDE6-BD349388A7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C1-4991-BDE6-BD349388A7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C1-4991-BDE6-BD349388A7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C1-4991-BDE6-BD349388A7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C1-4991-BDE6-BD349388A74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C1-4991-BDE6-BD349388A74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C1-4991-BDE6-BD349388A74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C1-4991-BDE6-BD349388A74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C1-4991-BDE6-BD349388A74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C1-4991-BDE6-BD349388A74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2C1-4991-BDE6-BD349388A747}"/>
              </c:ext>
            </c:extLst>
          </c:dPt>
          <c:dLbls>
            <c:dLbl>
              <c:idx val="11"/>
              <c:layout>
                <c:manualLayout>
                  <c:x val="-9.5196533386681964E-2"/>
                  <c:y val="-5.889522381434628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C1-4991-BDE6-BD349388A7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'Area Level Analysis'!$B$4:$B$17</c:f>
              <c:strCache>
                <c:ptCount val="13"/>
                <c:pt idx="0">
                  <c:v>Arekere</c:v>
                </c:pt>
                <c:pt idx="1">
                  <c:v>Bellandur</c:v>
                </c:pt>
                <c:pt idx="2">
                  <c:v>Bommanahalli</c:v>
                </c:pt>
                <c:pt idx="3">
                  <c:v>BTM</c:v>
                </c:pt>
                <c:pt idx="4">
                  <c:v>Devarabeesanahalli</c:v>
                </c:pt>
                <c:pt idx="5">
                  <c:v>Hosapalya</c:v>
                </c:pt>
                <c:pt idx="6">
                  <c:v>HSR</c:v>
                </c:pt>
                <c:pt idx="7">
                  <c:v>Indiranagar</c:v>
                </c:pt>
                <c:pt idx="8">
                  <c:v>Jayanagar</c:v>
                </c:pt>
                <c:pt idx="9">
                  <c:v>JP Nagar</c:v>
                </c:pt>
                <c:pt idx="10">
                  <c:v>Koramangala</c:v>
                </c:pt>
                <c:pt idx="11">
                  <c:v>Malleshwaram</c:v>
                </c:pt>
                <c:pt idx="12">
                  <c:v>Yelahanka</c:v>
                </c:pt>
              </c:strCache>
            </c:strRef>
          </c:cat>
          <c:val>
            <c:numRef>
              <c:f>'Area Level Analysis'!$C$4:$C$17</c:f>
              <c:numCache>
                <c:formatCode>General</c:formatCode>
                <c:ptCount val="13"/>
                <c:pt idx="0">
                  <c:v>4</c:v>
                </c:pt>
                <c:pt idx="1">
                  <c:v>11</c:v>
                </c:pt>
                <c:pt idx="2">
                  <c:v>4</c:v>
                </c:pt>
                <c:pt idx="3">
                  <c:v>10</c:v>
                </c:pt>
                <c:pt idx="4">
                  <c:v>4</c:v>
                </c:pt>
                <c:pt idx="5">
                  <c:v>3</c:v>
                </c:pt>
                <c:pt idx="6">
                  <c:v>44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14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2C1-4991-BDE6-BD349388A7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Order Analysis.xlsx]KPIs!PivotTable6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Veg vs. Non-Veg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5-4C13-933A-8E9A2454D60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5-4C13-933A-8E9A2454D60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KPIs!$A$4:$A$6</c:f>
              <c:strCache>
                <c:ptCount val="2"/>
                <c:pt idx="0">
                  <c:v>Non-Veg</c:v>
                </c:pt>
                <c:pt idx="1">
                  <c:v>Veg</c:v>
                </c:pt>
              </c:strCache>
            </c:strRef>
          </c:cat>
          <c:val>
            <c:numRef>
              <c:f>KPIs!$B$4:$B$6</c:f>
              <c:numCache>
                <c:formatCode>General</c:formatCode>
                <c:ptCount val="2"/>
                <c:pt idx="0">
                  <c:v>102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25-4C13-933A-8E9A2454D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Order Analysis.xlsx]KPIs!PivotTable7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On-time</a:t>
            </a:r>
            <a:r>
              <a:rPr lang="en-US" b="1" baseline="0"/>
              <a:t> vs. Delayed Delivery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KPIs!$B$10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25-40F3-B1DB-10A0A30385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25-40F3-B1DB-10A0A303859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KPIs!$A$11:$A$13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KPIs!$B$11:$B$13</c:f>
              <c:numCache>
                <c:formatCode>0.00%</c:formatCode>
                <c:ptCount val="2"/>
                <c:pt idx="0">
                  <c:v>0.56074766355140182</c:v>
                </c:pt>
                <c:pt idx="1">
                  <c:v>0.43925233644859812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25-40F3-B1DB-10A0A3038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 Volume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1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Jul</c:v>
              </c:pt>
              <c:pt idx="6">
                <c:v>Aug</c:v>
              </c:pt>
              <c:pt idx="7">
                <c:v>Sep</c:v>
              </c:pt>
              <c:pt idx="8">
                <c:v>Oct</c:v>
              </c:pt>
              <c:pt idx="9">
                <c:v>Nov</c:v>
              </c:pt>
              <c:pt idx="10">
                <c:v>Dec</c:v>
              </c:pt>
            </c:strLit>
          </c:cat>
          <c:val>
            <c:numLit>
              <c:formatCode>General</c:formatCode>
              <c:ptCount val="11"/>
              <c:pt idx="0">
                <c:v>1316864158563093</c:v>
              </c:pt>
              <c:pt idx="1">
                <c:v>1836801149926325</c:v>
              </c:pt>
              <c:pt idx="2">
                <c:v>1691933082340984</c:v>
              </c:pt>
              <c:pt idx="3">
                <c:v>1725249733921439</c:v>
              </c:pt>
              <c:pt idx="4">
                <c:v>4006348016033421</c:v>
              </c:pt>
              <c:pt idx="5">
                <c:v>516374676814</c:v>
              </c:pt>
              <c:pt idx="6">
                <c:v>1577045404163</c:v>
              </c:pt>
              <c:pt idx="7">
                <c:v>156710034445502</c:v>
              </c:pt>
              <c:pt idx="8">
                <c:v>1254809821705437</c:v>
              </c:pt>
              <c:pt idx="9">
                <c:v>1269689559144860</c:v>
              </c:pt>
              <c:pt idx="10">
                <c:v>972579275113794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A68-43EC-BFFF-AA1A6DE2B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014032"/>
        <c:axId val="1813002800"/>
      </c:lineChart>
      <c:catAx>
        <c:axId val="1813014032"/>
        <c:scaling>
          <c:orientation val="minMax"/>
        </c:scaling>
        <c:delete val="0"/>
        <c:axPos val="b"/>
        <c:numFmt formatCode="&quot;₹&quot;#,##0.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02800"/>
        <c:crosses val="autoZero"/>
        <c:auto val="1"/>
        <c:lblAlgn val="ctr"/>
        <c:lblOffset val="100"/>
        <c:noMultiLvlLbl val="0"/>
      </c:catAx>
      <c:valAx>
        <c:axId val="18130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14032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Order Analysis.xlsx]Monthly Expenditure!PivotTable4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5 Restaurants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Expenditure'!$C$6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Expenditure'!$B$7:$B$12</c:f>
              <c:strCache>
                <c:ptCount val="5"/>
                <c:pt idx="0">
                  <c:v>Daily Sushi</c:v>
                </c:pt>
                <c:pt idx="1">
                  <c:v>Plan B</c:v>
                </c:pt>
                <c:pt idx="2">
                  <c:v>Rasayan</c:v>
                </c:pt>
                <c:pt idx="3">
                  <c:v>Subway</c:v>
                </c:pt>
                <c:pt idx="4">
                  <c:v>The Ganache Factory - Cakes &amp; Desserts</c:v>
                </c:pt>
              </c:strCache>
            </c:strRef>
          </c:cat>
          <c:val>
            <c:numRef>
              <c:f>'Monthly Expenditure'!$C$7:$C$12</c:f>
              <c:numCache>
                <c:formatCode>General</c:formatCode>
                <c:ptCount val="5"/>
                <c:pt idx="0">
                  <c:v>3337</c:v>
                </c:pt>
                <c:pt idx="1">
                  <c:v>3274</c:v>
                </c:pt>
                <c:pt idx="2">
                  <c:v>3351</c:v>
                </c:pt>
                <c:pt idx="3">
                  <c:v>3463</c:v>
                </c:pt>
                <c:pt idx="4">
                  <c:v>3645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27-4AE6-9BF3-980A072E07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72579104"/>
        <c:axId val="372580064"/>
      </c:barChart>
      <c:catAx>
        <c:axId val="3725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80064"/>
        <c:crosses val="autoZero"/>
        <c:auto val="1"/>
        <c:lblAlgn val="ctr"/>
        <c:lblOffset val="100"/>
        <c:noMultiLvlLbl val="0"/>
      </c:catAx>
      <c:valAx>
        <c:axId val="3725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79104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82550</xdr:rowOff>
    </xdr:from>
    <xdr:to>
      <xdr:col>11</xdr:col>
      <xdr:colOff>311150</xdr:colOff>
      <xdr:row>44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6B7B2-5F1A-2CE8-2BBB-6575C5852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21982</xdr:rowOff>
    </xdr:from>
    <xdr:to>
      <xdr:col>0</xdr:col>
      <xdr:colOff>435990</xdr:colOff>
      <xdr:row>1</xdr:row>
      <xdr:rowOff>168520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73776-F2B2-7670-8898-654F3F878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30"/>
        <a:stretch>
          <a:fillRect/>
        </a:stretch>
      </xdr:blipFill>
      <xdr:spPr>
        <a:xfrm>
          <a:off x="0" y="21982"/>
          <a:ext cx="435990" cy="476250"/>
        </a:xfrm>
        <a:prstGeom prst="rect">
          <a:avLst/>
        </a:prstGeom>
      </xdr:spPr>
    </xdr:pic>
    <xdr:clientData/>
  </xdr:twoCellAnchor>
  <xdr:twoCellAnchor>
    <xdr:from>
      <xdr:col>0</xdr:col>
      <xdr:colOff>234950</xdr:colOff>
      <xdr:row>4</xdr:row>
      <xdr:rowOff>50800</xdr:rowOff>
    </xdr:from>
    <xdr:to>
      <xdr:col>0</xdr:col>
      <xdr:colOff>2082800</xdr:colOff>
      <xdr:row>5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55EBFE-0DF9-842A-94DC-D21ABEE05459}"/>
            </a:ext>
          </a:extLst>
        </xdr:cNvPr>
        <xdr:cNvSpPr txBox="1"/>
      </xdr:nvSpPr>
      <xdr:spPr>
        <a:xfrm>
          <a:off x="234950" y="958850"/>
          <a:ext cx="1847850" cy="165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Total Revenue</a:t>
          </a:r>
        </a:p>
      </xdr:txBody>
    </xdr:sp>
    <xdr:clientData/>
  </xdr:twoCellAnchor>
  <xdr:twoCellAnchor>
    <xdr:from>
      <xdr:col>1</xdr:col>
      <xdr:colOff>50800</xdr:colOff>
      <xdr:row>4</xdr:row>
      <xdr:rowOff>31750</xdr:rowOff>
    </xdr:from>
    <xdr:to>
      <xdr:col>1</xdr:col>
      <xdr:colOff>1898650</xdr:colOff>
      <xdr:row>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88866-047B-4793-B583-E465FF3C478B}"/>
            </a:ext>
          </a:extLst>
        </xdr:cNvPr>
        <xdr:cNvSpPr txBox="1"/>
      </xdr:nvSpPr>
      <xdr:spPr>
        <a:xfrm>
          <a:off x="2292350" y="939800"/>
          <a:ext cx="1847850" cy="165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Total Orders</a:t>
          </a:r>
        </a:p>
      </xdr:txBody>
    </xdr:sp>
    <xdr:clientData/>
  </xdr:twoCellAnchor>
  <xdr:twoCellAnchor>
    <xdr:from>
      <xdr:col>2</xdr:col>
      <xdr:colOff>50800</xdr:colOff>
      <xdr:row>4</xdr:row>
      <xdr:rowOff>44450</xdr:rowOff>
    </xdr:from>
    <xdr:to>
      <xdr:col>4</xdr:col>
      <xdr:colOff>558800</xdr:colOff>
      <xdr:row>4</xdr:row>
      <xdr:rowOff>190500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407B31B-97DE-4836-B487-8CDD68F50C5E}"/>
            </a:ext>
          </a:extLst>
        </xdr:cNvPr>
        <xdr:cNvSpPr txBox="1"/>
      </xdr:nvSpPr>
      <xdr:spPr>
        <a:xfrm>
          <a:off x="4235450" y="952500"/>
          <a:ext cx="1727200" cy="146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Avg.</a:t>
          </a:r>
          <a:r>
            <a:rPr lang="en-IN" sz="1200" b="1" baseline="0"/>
            <a:t> Order Amt</a:t>
          </a:r>
          <a:endParaRPr lang="en-IN" sz="1200" b="1"/>
        </a:p>
      </xdr:txBody>
    </xdr:sp>
    <xdr:clientData/>
  </xdr:twoCellAnchor>
  <xdr:twoCellAnchor>
    <xdr:from>
      <xdr:col>5</xdr:col>
      <xdr:colOff>152400</xdr:colOff>
      <xdr:row>4</xdr:row>
      <xdr:rowOff>50800</xdr:rowOff>
    </xdr:from>
    <xdr:to>
      <xdr:col>7</xdr:col>
      <xdr:colOff>692150</xdr:colOff>
      <xdr:row>5</xdr:row>
      <xdr:rowOff>31750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D873F1-CA8E-48EB-B2F9-1C876AB49165}"/>
            </a:ext>
          </a:extLst>
        </xdr:cNvPr>
        <xdr:cNvSpPr txBox="1"/>
      </xdr:nvSpPr>
      <xdr:spPr>
        <a:xfrm>
          <a:off x="6165850" y="958850"/>
          <a:ext cx="1924050" cy="17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Most Prefered</a:t>
          </a:r>
          <a:r>
            <a:rPr lang="en-IN" sz="1200" b="1" baseline="0"/>
            <a:t> Restaurant</a:t>
          </a:r>
          <a:endParaRPr lang="en-IN" sz="1200" b="1"/>
        </a:p>
      </xdr:txBody>
    </xdr:sp>
    <xdr:clientData/>
  </xdr:twoCellAnchor>
  <xdr:twoCellAnchor>
    <xdr:from>
      <xdr:col>8</xdr:col>
      <xdr:colOff>38100</xdr:colOff>
      <xdr:row>4</xdr:row>
      <xdr:rowOff>57150</xdr:rowOff>
    </xdr:from>
    <xdr:to>
      <xdr:col>10</xdr:col>
      <xdr:colOff>565150</xdr:colOff>
      <xdr:row>5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AE0E3D6-7531-4FFF-9FFD-776260021E01}"/>
            </a:ext>
          </a:extLst>
        </xdr:cNvPr>
        <xdr:cNvSpPr txBox="1"/>
      </xdr:nvSpPr>
      <xdr:spPr>
        <a:xfrm>
          <a:off x="8223250" y="965200"/>
          <a:ext cx="1746250" cy="15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Most Re-oreder</a:t>
          </a:r>
          <a:r>
            <a:rPr lang="en-IN" sz="1200" b="1" baseline="0"/>
            <a:t> Item</a:t>
          </a:r>
          <a:endParaRPr lang="en-IN" sz="1200" b="1"/>
        </a:p>
      </xdr:txBody>
    </xdr:sp>
    <xdr:clientData/>
  </xdr:twoCellAnchor>
  <xdr:twoCellAnchor>
    <xdr:from>
      <xdr:col>1</xdr:col>
      <xdr:colOff>12700</xdr:colOff>
      <xdr:row>10</xdr:row>
      <xdr:rowOff>165100</xdr:rowOff>
    </xdr:from>
    <xdr:to>
      <xdr:col>9</xdr:col>
      <xdr:colOff>25400</xdr:colOff>
      <xdr:row>29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6E7F9FE-CAFE-49B6-A4B7-481295083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34</xdr:row>
      <xdr:rowOff>0</xdr:rowOff>
    </xdr:from>
    <xdr:to>
      <xdr:col>8</xdr:col>
      <xdr:colOff>12700</xdr:colOff>
      <xdr:row>51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FD4C74-7101-49F8-8392-E331A8A05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25400</xdr:rowOff>
    </xdr:from>
    <xdr:to>
      <xdr:col>8</xdr:col>
      <xdr:colOff>25400</xdr:colOff>
      <xdr:row>68</xdr:row>
      <xdr:rowOff>176529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4540A3-5158-47F3-9064-9B00654A9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140873</xdr:colOff>
      <xdr:row>73</xdr:row>
      <xdr:rowOff>38420</xdr:rowOff>
    </xdr:from>
    <xdr:to>
      <xdr:col>0</xdr:col>
      <xdr:colOff>1988723</xdr:colOff>
      <xdr:row>74</xdr:row>
      <xdr:rowOff>6671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4771D83-C752-4591-9C86-D4FC2D421F18}"/>
            </a:ext>
          </a:extLst>
        </xdr:cNvPr>
        <xdr:cNvSpPr txBox="1"/>
      </xdr:nvSpPr>
      <xdr:spPr>
        <a:xfrm>
          <a:off x="140873" y="11257109"/>
          <a:ext cx="1847850" cy="166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Avg.</a:t>
          </a:r>
          <a:r>
            <a:rPr lang="en-IN" sz="1200" b="1" baseline="0"/>
            <a:t> Delivery Time</a:t>
          </a:r>
          <a:endParaRPr lang="en-IN" sz="1200" b="1"/>
        </a:p>
      </xdr:txBody>
    </xdr:sp>
    <xdr:clientData/>
  </xdr:twoCellAnchor>
  <xdr:twoCellAnchor>
    <xdr:from>
      <xdr:col>1</xdr:col>
      <xdr:colOff>56349</xdr:colOff>
      <xdr:row>73</xdr:row>
      <xdr:rowOff>56349</xdr:rowOff>
    </xdr:from>
    <xdr:to>
      <xdr:col>1</xdr:col>
      <xdr:colOff>1904199</xdr:colOff>
      <xdr:row>74</xdr:row>
      <xdr:rowOff>24600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0C94098-3B73-48C2-8F44-7BBB641C9972}"/>
            </a:ext>
          </a:extLst>
        </xdr:cNvPr>
        <xdr:cNvSpPr txBox="1"/>
      </xdr:nvSpPr>
      <xdr:spPr>
        <a:xfrm>
          <a:off x="2297525" y="11275038"/>
          <a:ext cx="1847850" cy="166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Avg.</a:t>
          </a:r>
          <a:r>
            <a:rPr lang="en-IN" sz="1200" b="1" baseline="0"/>
            <a:t> Delivery Distance</a:t>
          </a:r>
          <a:endParaRPr lang="en-IN" sz="1200" b="1"/>
        </a:p>
      </xdr:txBody>
    </xdr:sp>
    <xdr:clientData/>
  </xdr:twoCellAnchor>
  <xdr:twoCellAnchor>
    <xdr:from>
      <xdr:col>2</xdr:col>
      <xdr:colOff>6402</xdr:colOff>
      <xdr:row>79</xdr:row>
      <xdr:rowOff>159080</xdr:rowOff>
    </xdr:from>
    <xdr:to>
      <xdr:col>6</xdr:col>
      <xdr:colOff>850899</xdr:colOff>
      <xdr:row>91</xdr:row>
      <xdr:rowOff>173690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1C62B07-9C0A-4489-8788-36D584A37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1568821</xdr:colOff>
      <xdr:row>96</xdr:row>
      <xdr:rowOff>8966</xdr:rowOff>
    </xdr:from>
    <xdr:to>
      <xdr:col>9</xdr:col>
      <xdr:colOff>0</xdr:colOff>
      <xdr:row>111</xdr:row>
      <xdr:rowOff>26894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CE4716B-D3B8-4887-8B99-693F29984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</xdr:colOff>
      <xdr:row>116</xdr:row>
      <xdr:rowOff>0</xdr:rowOff>
    </xdr:from>
    <xdr:to>
      <xdr:col>10</xdr:col>
      <xdr:colOff>17931</xdr:colOff>
      <xdr:row>134</xdr:row>
      <xdr:rowOff>17930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DD97790-75A0-4C78-93E2-BA30A2BAC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855.447429282409" createdVersion="8" refreshedVersion="8" minRefreshableVersion="3" recordCount="107" xr:uid="{E1DF05D7-8F3B-4966-AE46-255C4DD3DB0B}">
  <cacheSource type="worksheet">
    <worksheetSource ref="A1:AE108" sheet="Swiggy_Orders_Data"/>
  </cacheSource>
  <cacheFields count="36">
    <cacheField name="order_id" numFmtId="1">
      <sharedItems containsSemiMixedTypes="0" containsString="0" containsNumber="1" containsInteger="1" minValue="171863054117" maxValue="175244332362622"/>
    </cacheField>
    <cacheField name="is_coupon_applied" numFmtId="0">
      <sharedItems/>
    </cacheField>
    <cacheField name="coupon_applied" numFmtId="0">
      <sharedItems/>
    </cacheField>
    <cacheField name="offers_data" numFmtId="0">
      <sharedItems longText="1"/>
    </cacheField>
    <cacheField name="order_time" numFmtId="164">
      <sharedItems count="107">
        <s v="2024-05-21 12:28:52"/>
        <s v="2024-05-20 15:00:17"/>
        <s v="2024-05-18 21:21:54"/>
        <s v="2024-05-18 09:07:26"/>
        <s v="2024-05-17 14:41:45"/>
        <s v="2024-05-10 22:20:55"/>
        <s v="2024-05-10 19:14:56"/>
        <s v="2024-05-08 11:36:45"/>
        <s v="2024-05-07 23:45:56"/>
        <s v="2024-05-07 21:31:39"/>
        <s v="2024-05-07 19:02:12"/>
        <s v="2024-05-07 13:18:22"/>
        <s v="2024-05-07 10:06:46"/>
        <s v="2024-05-06 19:18:39"/>
        <s v="2024-05-06 16:03:12"/>
        <s v="2024-05-06 13:53:24"/>
        <s v="2024-05-06 08:43:13"/>
        <s v="2024-05-05 19:17:56"/>
        <s v="2024-05-05 08:36:52"/>
        <s v="2024-05-04 15:56:01"/>
        <s v="2024-05-02 19:15:20"/>
        <s v="2024-05-01 15:58:19"/>
        <s v="2024-05-01 10:16:04"/>
        <s v="2024-04-27 10:09:55"/>
        <s v="2024-04-27 10:07:51"/>
        <s v="2024-04-25 19:00:59"/>
        <s v="2024-04-24 19:40:51"/>
        <s v="2024-04-23 23:43:02"/>
        <s v="2024-04-23 19:20:12"/>
        <s v="2024-04-22 19:58:41"/>
        <s v="2024-04-18 18:43:41"/>
        <s v="2024-04-03 18:53:56"/>
        <s v="2024-04-01 19:23:01"/>
        <s v="2024-03-31 15:46:07"/>
        <s v="2024-03-25 14:23:37"/>
        <s v="2024-03-21 19:08:54"/>
        <s v="2024-03-10 21:08:36"/>
        <s v="2024-03-09 18:33:51"/>
        <s v="2024-03-08 19:49:32"/>
        <s v="2024-03-05 21:00:14"/>
        <s v="2024-03-04 14:50:09"/>
        <s v="2024-03-03 17:55:54"/>
        <s v="2024-03-02 01:47:43"/>
        <s v="2024-02-27 23:58:33"/>
        <s v="2024-02-27 19:55:39"/>
        <s v="2024-02-26 20:09:48"/>
        <s v="2024-02-18 18:18:22"/>
        <s v="2024-02-16 20:31:01"/>
        <s v="2024-02-16 13:57:27"/>
        <s v="2024-02-15 13:08:25"/>
        <s v="2024-02-13 19:52:04"/>
        <s v="2024-02-04 01:44:56"/>
        <s v="2024-02-03 15:17:54"/>
        <s v="2024-02-02 20:08:16"/>
        <s v="2024-01-28 16:28:50"/>
        <s v="2024-01-27 21:43:01"/>
        <s v="2024-01-20 23:31:34"/>
        <s v="2024-01-20 15:28:16"/>
        <s v="2024-01-16 17:32:52"/>
        <s v="2024-01-16 17:30:27"/>
        <s v="2024-01-14 14:19:25"/>
        <s v="2024-01-09 01:01:28"/>
        <s v="2023-12-31 20:34:35"/>
        <s v="2023-12-31 20:29:21"/>
        <s v="2023-12-26 15:19:03"/>
        <s v="2023-12-25 13:37:43"/>
        <s v="2023-12-09 14:07:16"/>
        <s v="2023-12-02 13:46:34"/>
        <s v="2023-11-26 13:41:26"/>
        <s v="2023-11-23 14:43:51"/>
        <s v="2023-11-15 19:00:06"/>
        <s v="2023-11-08 19:23:36"/>
        <s v="2023-11-07 19:16:54"/>
        <s v="2023-11-05 11:25:39"/>
        <s v="2023-11-04 20:05:23"/>
        <s v="2023-11-04 09:55:41"/>
        <s v="2023-10-26 14:12:16"/>
        <s v="2023-10-25 19:37:59"/>
        <s v="2023-10-24 11:14:20"/>
        <s v="2023-10-22 20:25:28"/>
        <s v="2023-10-22 11:17:21"/>
        <s v="2023-10-21 18:54:35"/>
        <s v="2023-10-19 07:58:24"/>
        <s v="2023-10-09 18:36:35"/>
        <s v="2023-09-29 10:42:32"/>
        <s v="2023-09-25 16:02:34"/>
        <s v="2023-09-23 15:56:11"/>
        <s v="2023-09-19 12:11:47"/>
        <s v="2023-09-18 11:09:42"/>
        <s v="2023-09-12 16:23:04"/>
        <s v="2023-09-10 23:55:33"/>
        <s v="2023-09-08 21:49:47"/>
        <s v="2023-09-03 10:46:35"/>
        <s v="2023-09-02 21:21:56"/>
        <s v="2023-09-02 13:29:33"/>
        <s v="2023-08-30 11:40:45"/>
        <s v="2023-08-27 19:47:38"/>
        <s v="2023-08-24 21:46:11"/>
        <s v="2023-08-15 22:04:33"/>
        <s v="2023-08-13 12:07:31"/>
        <s v="2023-08-09 14:42:32"/>
        <s v="2023-08-09 13:50:36"/>
        <s v="2023-08-08 14:13:36"/>
        <s v="2023-08-06 11:26:46"/>
        <s v="2023-07-16 10:11:39"/>
        <s v="2023-07-09 10:28:44"/>
        <s v="2023-07-08 09:14:15"/>
      </sharedItems>
    </cacheField>
    <cacheField name="confirmed_time" numFmtId="0">
      <sharedItems containsBlank="1"/>
    </cacheField>
    <cacheField name="customer_id" numFmtId="0">
      <sharedItems containsSemiMixedTypes="0" containsString="0" containsNumber="1" containsInteger="1" minValue="21191609" maxValue="21191609"/>
    </cacheField>
    <cacheField name="order_status" numFmtId="0">
      <sharedItems count="2">
        <s v="Delivered"/>
        <s v="cancelled"/>
      </sharedItems>
    </cacheField>
    <cacheField name="delivery_boy" numFmtId="0">
      <sharedItems containsBlank="1"/>
    </cacheField>
    <cacheField name="restaurant_id" numFmtId="0">
      <sharedItems containsSemiMixedTypes="0" containsString="0" containsNumber="1" containsInteger="1" minValue="2675" maxValue="742267"/>
    </cacheField>
    <cacheField name="restaurant_name" numFmtId="0">
      <sharedItems count="43">
        <s v="Paris Panini - Gourmet Sandwiches &amp; Wraps"/>
        <s v="Nandhana Palace"/>
        <s v="The Ganache Factory - Cakes &amp; Desserts"/>
        <s v="Rasayan"/>
        <s v="Firangi Bake"/>
        <s v="Daily Sushi"/>
        <s v="Naalnaad Mane"/>
        <s v="Theobroma"/>
        <s v="Love And Crumble"/>
        <s v="Homely"/>
        <s v="Chowman"/>
        <s v="Frozen Bottle - Milkshakes, Desserts And Ice Cream"/>
        <s v="Leon's - Burgers &amp; Wings (Leon Grill)"/>
        <s v="Subway"/>
        <s v="Bowl Soul"/>
        <s v="Sundae Everyday Ice Creams"/>
        <s v="Smoky Docky"/>
        <s v="NOTO - Ice Creams &amp; Desserts"/>
        <s v="Baba Ganoush"/>
        <s v="Domino's Pizza"/>
        <s v="The Belgian Waffle Co."/>
        <s v="Paratha Envy"/>
        <s v="McDonald's"/>
        <s v="Burger Seigneur"/>
        <s v="Tharavadu family restaurant"/>
        <s v="The Best Thickshakes Co"/>
        <s v="Wow! Momo"/>
        <s v="Dosa Chicken &amp; Tiffins"/>
        <s v="The Himalayan Momo Company"/>
        <s v="Kairali Restaurant"/>
        <s v="Asha tiffins"/>
        <s v="Imperio Restaurant"/>
        <s v="HSR Freshcane Juice"/>
        <s v="Plan B"/>
        <s v="Drunken Monkey"/>
        <s v="Truffles"/>
        <s v="Istah - The Mediterranean Way"/>
        <s v="The Thick Shake Factory"/>
        <s v="Kerala Panoor Restaurant"/>
        <s v="FreshMenu"/>
        <s v="La Pino'z Pizza"/>
        <s v="Cafe Amudham"/>
        <s v="Table for Tous"/>
      </sharedItems>
    </cacheField>
    <cacheField name="restaurant_address" numFmtId="0">
      <sharedItems/>
    </cacheField>
    <cacheField name="restaurant_locality" numFmtId="0">
      <sharedItems/>
    </cacheField>
    <cacheField name="restaurant_city_name" numFmtId="0">
      <sharedItems/>
    </cacheField>
    <cacheField name="delivery_time_in_seconds" numFmtId="0">
      <sharedItems containsSemiMixedTypes="0" containsString="0" containsNumber="1" containsInteger="1" minValue="0" maxValue="4528"/>
    </cacheField>
    <cacheField name="order_total" numFmtId="0">
      <sharedItems containsSemiMixedTypes="0" containsString="0" containsNumber="1" containsInteger="1" minValue="115" maxValue="1905" count="90">
        <n v="146"/>
        <n v="555"/>
        <n v="382"/>
        <n v="421"/>
        <n v="556"/>
        <n v="1062"/>
        <n v="440"/>
        <n v="352"/>
        <n v="644"/>
        <n v="387"/>
        <n v="320"/>
        <n v="275"/>
        <n v="334"/>
        <n v="509"/>
        <n v="242"/>
        <n v="487"/>
        <n v="392"/>
        <n v="680"/>
        <n v="214"/>
        <n v="696"/>
        <n v="399"/>
        <n v="489"/>
        <n v="646"/>
        <n v="208"/>
        <n v="344"/>
        <n v="301"/>
        <n v="310"/>
        <n v="724"/>
        <n v="252"/>
        <n v="596"/>
        <n v="251"/>
        <n v="302"/>
        <n v="154"/>
        <n v="537"/>
        <n v="466"/>
        <n v="568"/>
        <n v="212"/>
        <n v="307"/>
        <n v="341"/>
        <n v="650"/>
        <n v="809"/>
        <n v="198"/>
        <n v="115"/>
        <n v="222"/>
        <n v="233"/>
        <n v="599"/>
        <n v="588"/>
        <n v="886"/>
        <n v="885"/>
        <n v="270"/>
        <n v="342"/>
        <n v="467"/>
        <n v="788"/>
        <n v="372"/>
        <n v="355"/>
        <n v="354"/>
        <n v="284"/>
        <n v="455"/>
        <n v="380"/>
        <n v="221"/>
        <n v="287"/>
        <n v="333"/>
        <n v="191"/>
        <n v="298"/>
        <n v="167"/>
        <n v="300"/>
        <n v="289"/>
        <n v="265"/>
        <n v="189"/>
        <n v="229"/>
        <n v="553"/>
        <n v="362"/>
        <n v="281"/>
        <n v="190"/>
        <n v="244"/>
        <n v="1369"/>
        <n v="1905"/>
        <n v="359"/>
        <n v="356"/>
        <n v="164"/>
        <n v="369"/>
        <n v="504"/>
        <n v="477"/>
        <n v="401"/>
        <n v="516"/>
        <n v="171"/>
        <n v="645"/>
        <n v="186"/>
        <n v="1136"/>
        <n v="170"/>
      </sharedItems>
    </cacheField>
    <cacheField name="order_total_with_tip" numFmtId="0">
      <sharedItems containsSemiMixedTypes="0" containsString="0" containsNumber="1" containsInteger="1" minValue="115" maxValue="1905"/>
    </cacheField>
    <cacheField name="net_total" numFmtId="0">
      <sharedItems containsSemiMixedTypes="0" containsString="0" containsNumber="1" containsInteger="1" minValue="115" maxValue="1905"/>
    </cacheField>
    <cacheField name="item_total" numFmtId="0">
      <sharedItems containsSemiMixedTypes="0" containsString="0" containsNumber="1" minValue="149" maxValue="1970"/>
    </cacheField>
    <cacheField name="free_delivery_discount_hit" numFmtId="0">
      <sharedItems containsSemiMixedTypes="0" containsString="0" containsNumber="1" containsInteger="1" minValue="0" maxValue="92"/>
    </cacheField>
    <cacheField name="restaurant_order_rating" numFmtId="0">
      <sharedItems containsSemiMixedTypes="0" containsString="0" containsNumber="1" containsInteger="1" minValue="0" maxValue="0"/>
    </cacheField>
    <cacheField name="restaurant_lat_lng" numFmtId="0">
      <sharedItems/>
    </cacheField>
    <cacheField name="restaurant_customer_distance" numFmtId="0">
      <sharedItems containsSemiMixedTypes="0" containsString="0" containsNumber="1" minValue="0" maxValue="10.199999999999999"/>
    </cacheField>
    <cacheField name="coupon_code" numFmtId="0">
      <sharedItems/>
    </cacheField>
    <cacheField name="order_payment_method" numFmtId="0">
      <sharedItems/>
    </cacheField>
    <cacheField name="restaurant_area_name" numFmtId="0">
      <sharedItems/>
    </cacheField>
    <cacheField name="on_time" numFmtId="0">
      <sharedItems count="2">
        <b v="0"/>
        <b v="1"/>
      </sharedItems>
    </cacheField>
    <cacheField name="rain_mode" numFmtId="0">
      <sharedItems containsSemiMixedTypes="0" containsString="0" containsNumber="1" containsInteger="1" minValue="0" maxValue="2"/>
    </cacheField>
    <cacheField name="Order Mod Date" numFmtId="14">
      <sharedItems containsSemiMixedTypes="0" containsNonDate="0" containsDate="1" containsString="0" minDate="2023-07-08T00:00:00" maxDate="2024-05-22T00:00:00" count="85">
        <d v="2024-05-21T00:00:00"/>
        <d v="2024-05-20T00:00:00"/>
        <d v="2024-05-18T00:00:00"/>
        <d v="2024-05-17T00:00:00"/>
        <d v="2024-05-10T00:00:00"/>
        <d v="2024-05-08T00:00:00"/>
        <d v="2024-05-07T00:00:00"/>
        <d v="2024-05-06T00:00:00"/>
        <d v="2024-05-05T00:00:00"/>
        <d v="2024-05-04T00:00:00"/>
        <d v="2024-05-02T00:00:00"/>
        <d v="2024-05-01T00:00:00"/>
        <d v="2024-04-27T00:00:00"/>
        <d v="2024-04-25T00:00:00"/>
        <d v="2024-04-24T00:00:00"/>
        <d v="2024-04-23T00:00:00"/>
        <d v="2024-04-22T00:00:00"/>
        <d v="2024-04-18T00:00:00"/>
        <d v="2024-04-03T00:00:00"/>
        <d v="2024-04-01T00:00:00"/>
        <d v="2024-03-31T00:00:00"/>
        <d v="2024-03-25T00:00:00"/>
        <d v="2024-03-21T00:00:00"/>
        <d v="2024-03-10T00:00:00"/>
        <d v="2024-03-09T00:00:00"/>
        <d v="2024-03-08T00:00:00"/>
        <d v="2024-03-05T00:00:00"/>
        <d v="2024-03-04T00:00:00"/>
        <d v="2024-03-03T00:00:00"/>
        <d v="2024-03-02T00:00:00"/>
        <d v="2024-02-27T00:00:00"/>
        <d v="2024-02-26T00:00:00"/>
        <d v="2024-02-18T00:00:00"/>
        <d v="2024-02-16T00:00:00"/>
        <d v="2024-02-15T00:00:00"/>
        <d v="2024-02-13T00:00:00"/>
        <d v="2024-02-04T00:00:00"/>
        <d v="2024-02-03T00:00:00"/>
        <d v="2024-02-02T00:00:00"/>
        <d v="2024-01-28T00:00:00"/>
        <d v="2024-01-27T00:00:00"/>
        <d v="2024-01-20T00:00:00"/>
        <d v="2024-01-16T00:00:00"/>
        <d v="2024-01-14T00:00:00"/>
        <d v="2024-01-09T00:00:00"/>
        <d v="2023-12-31T00:00:00"/>
        <d v="2023-12-26T00:00:00"/>
        <d v="2023-12-25T00:00:00"/>
        <d v="2023-12-09T00:00:00"/>
        <d v="2023-12-02T00:00:00"/>
        <d v="2023-11-26T00:00:00"/>
        <d v="2023-11-23T00:00:00"/>
        <d v="2023-11-15T00:00:00"/>
        <d v="2023-11-08T00:00:00"/>
        <d v="2023-11-07T00:00:00"/>
        <d v="2023-11-05T00:00:00"/>
        <d v="2023-11-04T00:00:00"/>
        <d v="2023-10-26T00:00:00"/>
        <d v="2023-10-25T00:00:00"/>
        <d v="2023-10-24T00:00:00"/>
        <d v="2023-10-22T00:00:00"/>
        <d v="2023-10-21T00:00:00"/>
        <d v="2023-10-19T00:00:00"/>
        <d v="2023-10-09T00:00:00"/>
        <d v="2023-09-29T00:00:00"/>
        <d v="2023-09-25T00:00:00"/>
        <d v="2023-09-23T00:00:00"/>
        <d v="2023-09-19T00:00:00"/>
        <d v="2023-09-18T00:00:00"/>
        <d v="2023-09-12T00:00:00"/>
        <d v="2023-09-10T00:00:00"/>
        <d v="2023-09-08T00:00:00"/>
        <d v="2023-09-03T00:00:00"/>
        <d v="2023-09-02T00:00:00"/>
        <d v="2023-08-30T00:00:00"/>
        <d v="2023-08-27T00:00:00"/>
        <d v="2023-08-24T00:00:00"/>
        <d v="2023-08-15T00:00:00"/>
        <d v="2023-08-13T00:00:00"/>
        <d v="2023-08-09T00:00:00"/>
        <d v="2023-08-08T00:00:00"/>
        <d v="2023-08-06T00:00:00"/>
        <d v="2023-07-16T00:00:00"/>
        <d v="2023-07-09T00:00:00"/>
        <d v="2023-07-08T00:00:00"/>
      </sharedItems>
      <fieldGroup par="35"/>
    </cacheField>
    <cacheField name="area_name_code" numFmtId="0">
      <sharedItems count="13">
        <s v="JP Nagar"/>
        <s v="Jayanagar"/>
        <s v="BTM"/>
        <s v="Arekere"/>
        <s v="HSR"/>
        <s v="Malleshwaram"/>
        <s v="Bellandur"/>
        <s v="Koramangala"/>
        <s v="Yelahanka"/>
        <s v="Devarabeesanahalli"/>
        <s v="Hosapalya"/>
        <s v="Bommanahalli"/>
        <s v="Indiranagar"/>
      </sharedItems>
    </cacheField>
    <cacheField name="mod restaurant name" numFmtId="0">
      <sharedItems/>
    </cacheField>
    <cacheField name="Latitude" numFmtId="0">
      <sharedItems containsSemiMixedTypes="0" containsString="0" containsNumber="1" minValue="12.885643" maxValue="13.16024"/>
    </cacheField>
    <cacheField name="Longitude" numFmtId="0">
      <sharedItems containsSemiMixedTypes="0" containsString="0" containsNumber="1" minValue="77.578126999999995" maxValue="77.692145999999994"/>
    </cacheField>
    <cacheField name="Months (Order Mod Date)" numFmtId="0" databaseField="0">
      <fieldGroup base="28">
        <rangePr groupBy="months" startDate="2023-07-08T00:00:00" endDate="2024-05-22T00:00:00"/>
        <groupItems count="14">
          <s v="&lt;08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5-2024"/>
        </groupItems>
      </fieldGroup>
    </cacheField>
    <cacheField name="Quarters (Order Mod Date)" numFmtId="0" databaseField="0">
      <fieldGroup base="28">
        <rangePr groupBy="quarters" startDate="2023-07-08T00:00:00" endDate="2024-05-22T00:00:00"/>
        <groupItems count="6">
          <s v="&lt;08-07-2023"/>
          <s v="Qtr1"/>
          <s v="Qtr2"/>
          <s v="Qtr3"/>
          <s v="Qtr4"/>
          <s v="&gt;22-05-2024"/>
        </groupItems>
      </fieldGroup>
    </cacheField>
    <cacheField name="Years (Order Mod Date)" numFmtId="0" databaseField="0">
      <fieldGroup base="28">
        <rangePr groupBy="years" startDate="2023-07-08T00:00:00" endDate="2024-05-22T00:00:00"/>
        <groupItems count="4">
          <s v="&lt;08-07-2023"/>
          <s v="2023"/>
          <s v="2024"/>
          <s v="&gt;22-05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855.459664004629" backgroundQuery="1" createdVersion="8" refreshedVersion="8" minRefreshableVersion="3" recordCount="0" supportSubquery="1" supportAdvancedDrill="1" xr:uid="{2234E07A-E144-4919-9C71-DCC6012FA394}">
  <cacheSource type="external" connectionId="3"/>
  <cacheFields count="3">
    <cacheField name="[Swiggy_Orders_Data].[area_name_code].[area_name_code]" caption="area_name_code" numFmtId="0" hierarchy="34" level="1">
      <sharedItems count="13">
        <s v="Arekere"/>
        <s v="Bellandur"/>
        <s v="Bommanahalli"/>
        <s v="BTM"/>
        <s v="Devarabeesanahalli"/>
        <s v="Hosapalya"/>
        <s v="HSR"/>
        <s v="Indiranagar"/>
        <s v="Jayanagar"/>
        <s v="JP Nagar"/>
        <s v="Koramangala"/>
        <s v="Malleshwaram"/>
        <s v="Yelahanka"/>
      </sharedItems>
    </cacheField>
    <cacheField name="[Food Item Level Data].[order_items.name].[order_items.name]" caption="order_items.name" numFmtId="0" hierarchy="1" level="1">
      <sharedItems count="13">
        <s v="Koli Curry With Ney Kulu/Noolputtu"/>
        <s v="Ghee Gulab Jamun (2 Pcs)"/>
        <s v="Idiyappam"/>
        <s v="Dark Chocolate Smoothie Bowl."/>
        <s v="Blueberry Cheese Cake"/>
        <s v="Paris Delice (Buff)"/>
        <s v="Single Lamb Cheese Burger"/>
        <s v="Trapper Creek"/>
        <s v="Apple Crumble Pie"/>
        <s v="Michel (Chicken &amp; Mozza Sandwich)"/>
        <s v="Melted Cheese Chicken Shawarma"/>
        <s v="Dark Chocolate Chunk Sea Salt"/>
        <s v="Ferrero Magic"/>
      </sharedItems>
    </cacheField>
    <cacheField name="[Measures].[Count of order_id]" caption="Count of order_id" numFmtId="0" hierarchy="45" level="32767"/>
  </cacheFields>
  <cacheHierarchies count="46">
    <cacheHierarchy uniqueName="[Food Item Level Data].[order_id]" caption="order_id" attribute="1" defaultMemberUniqueName="[Food Item Level Data].[order_id].[All]" allUniqueName="[Food Item Level Data].[order_id].[All]" dimensionUniqueName="[Food Item Level Data]" displayFolder="" count="0" memberValueDatatype="20" unbalanced="0"/>
    <cacheHierarchy uniqueName="[Food Item Level Data].[order_items.name]" caption="order_items.name" attribute="1" defaultMemberUniqueName="[Food Item Level Data].[order_items.name].[All]" allUniqueName="[Food Item Level Data].[order_items.name].[All]" dimensionUniqueName="[Food Item Level Data]" displayFolder="" count="2" memberValueDatatype="130" unbalanced="0">
      <fieldsUsage count="2">
        <fieldUsage x="-1"/>
        <fieldUsage x="1"/>
      </fieldsUsage>
    </cacheHierarchy>
    <cacheHierarchy uniqueName="[Food Item Level Data].[order_items.is_veg]" caption="order_items.is_veg" attribute="1" defaultMemberUniqueName="[Food Item Level Data].[order_items.is_veg].[All]" allUniqueName="[Food Item Level Data].[order_items.is_veg].[All]" dimensionUniqueName="[Food Item Level Data]" displayFolder="" count="0" memberValueDatatype="20" unbalanced="0"/>
    <cacheHierarchy uniqueName="[Food Item Level Data].[order_items.quantity]" caption="order_items.quantity" attribute="1" defaultMemberUniqueName="[Food Item Level Data].[order_items.quantity].[All]" allUniqueName="[Food Item Level Data].[order_items.quantity].[All]" dimensionUniqueName="[Food Item Level Data]" displayFolder="" count="0" memberValueDatatype="20" unbalanced="0"/>
    <cacheHierarchy uniqueName="[Food Item Level Data].[Veg/Non-Veg]" caption="Veg/Non-Veg" attribute="1" defaultMemberUniqueName="[Food Item Level Data].[Veg/Non-Veg].[All]" allUniqueName="[Food Item Level Data].[Veg/Non-Veg].[All]" dimensionUniqueName="[Food Item Level Data]" displayFolder="" count="0" memberValueDatatype="130" unbalanced="0"/>
    <cacheHierarchy uniqueName="[Swiggy_Orders_Data].[order_id]" caption="order_id" attribute="1" defaultMemberUniqueName="[Swiggy_Orders_Data].[order_id].[All]" allUniqueName="[Swiggy_Orders_Data].[order_id].[All]" dimensionUniqueName="[Swiggy_Orders_Data]" displayFolder="" count="0" memberValueDatatype="20" unbalanced="0"/>
    <cacheHierarchy uniqueName="[Swiggy_Orders_Data].[is_coupon_applied]" caption="is_coupon_applied" attribute="1" defaultMemberUniqueName="[Swiggy_Orders_Data].[is_coupon_applied].[All]" allUniqueName="[Swiggy_Orders_Data].[is_coupon_applied].[All]" dimensionUniqueName="[Swiggy_Orders_Data]" displayFolder="" count="0" memberValueDatatype="11" unbalanced="0"/>
    <cacheHierarchy uniqueName="[Swiggy_Orders_Data].[coupon_applied]" caption="coupon_applied" attribute="1" defaultMemberUniqueName="[Swiggy_Orders_Data].[coupon_applied].[All]" allUniqueName="[Swiggy_Orders_Data].[coupon_applied].[All]" dimensionUniqueName="[Swiggy_Orders_Data]" displayFolder="" count="0" memberValueDatatype="130" unbalanced="0"/>
    <cacheHierarchy uniqueName="[Swiggy_Orders_Data].[offers_data]" caption="offers_data" attribute="1" defaultMemberUniqueName="[Swiggy_Orders_Data].[offers_data].[All]" allUniqueName="[Swiggy_Orders_Data].[offers_data].[All]" dimensionUniqueName="[Swiggy_Orders_Data]" displayFolder="" count="0" memberValueDatatype="130" unbalanced="0"/>
    <cacheHierarchy uniqueName="[Swiggy_Orders_Data].[order_time]" caption="order_time" attribute="1" time="1" defaultMemberUniqueName="[Swiggy_Orders_Data].[order_time].[All]" allUniqueName="[Swiggy_Orders_Data].[order_time].[All]" dimensionUniqueName="[Swiggy_Orders_Data]" displayFolder="" count="0" memberValueDatatype="7" unbalanced="0"/>
    <cacheHierarchy uniqueName="[Swiggy_Orders_Data].[confirmed_time]" caption="confirmed_time" attribute="1" time="1" defaultMemberUniqueName="[Swiggy_Orders_Data].[confirmed_time].[All]" allUniqueName="[Swiggy_Orders_Data].[confirmed_time].[All]" dimensionUniqueName="[Swiggy_Orders_Data]" displayFolder="" count="0" memberValueDatatype="7" unbalanced="0"/>
    <cacheHierarchy uniqueName="[Swiggy_Orders_Data].[customer_id]" caption="customer_id" attribute="1" defaultMemberUniqueName="[Swiggy_Orders_Data].[customer_id].[All]" allUniqueName="[Swiggy_Orders_Data].[customer_id].[All]" dimensionUniqueName="[Swiggy_Orders_Data]" displayFolder="" count="0" memberValueDatatype="20" unbalanced="0"/>
    <cacheHierarchy uniqueName="[Swiggy_Orders_Data].[order_status]" caption="order_status" attribute="1" defaultMemberUniqueName="[Swiggy_Orders_Data].[order_status].[All]" allUniqueName="[Swiggy_Orders_Data].[order_status].[All]" dimensionUniqueName="[Swiggy_Orders_Data]" displayFolder="" count="0" memberValueDatatype="130" unbalanced="0"/>
    <cacheHierarchy uniqueName="[Swiggy_Orders_Data].[delivery_boy]" caption="delivery_boy" attribute="1" defaultMemberUniqueName="[Swiggy_Orders_Data].[delivery_boy].[All]" allUniqueName="[Swiggy_Orders_Data].[delivery_boy].[All]" dimensionUniqueName="[Swiggy_Orders_Data]" displayFolder="" count="0" memberValueDatatype="130" unbalanced="0"/>
    <cacheHierarchy uniqueName="[Swiggy_Orders_Data].[restaurant_id]" caption="restaurant_id" attribute="1" defaultMemberUniqueName="[Swiggy_Orders_Data].[restaurant_id].[All]" allUniqueName="[Swiggy_Orders_Data].[restaurant_id].[All]" dimensionUniqueName="[Swiggy_Orders_Data]" displayFolder="" count="0" memberValueDatatype="20" unbalanced="0"/>
    <cacheHierarchy uniqueName="[Swiggy_Orders_Data].[restaurant_name]" caption="restaurant_name" attribute="1" defaultMemberUniqueName="[Swiggy_Orders_Data].[restaurant_name].[All]" allUniqueName="[Swiggy_Orders_Data].[restaurant_name].[All]" dimensionUniqueName="[Swiggy_Orders_Data]" displayFolder="" count="0" memberValueDatatype="130" unbalanced="0"/>
    <cacheHierarchy uniqueName="[Swiggy_Orders_Data].[restaurant_address]" caption="restaurant_address" attribute="1" defaultMemberUniqueName="[Swiggy_Orders_Data].[restaurant_address].[All]" allUniqueName="[Swiggy_Orders_Data].[restaurant_address].[All]" dimensionUniqueName="[Swiggy_Orders_Data]" displayFolder="" count="0" memberValueDatatype="130" unbalanced="0"/>
    <cacheHierarchy uniqueName="[Swiggy_Orders_Data].[restaurant_locality]" caption="restaurant_locality" attribute="1" defaultMemberUniqueName="[Swiggy_Orders_Data].[restaurant_locality].[All]" allUniqueName="[Swiggy_Orders_Data].[restaurant_locality].[All]" dimensionUniqueName="[Swiggy_Orders_Data]" displayFolder="" count="0" memberValueDatatype="130" unbalanced="0"/>
    <cacheHierarchy uniqueName="[Swiggy_Orders_Data].[restaurant_city_name]" caption="restaurant_city_name" attribute="1" defaultMemberUniqueName="[Swiggy_Orders_Data].[restaurant_city_name].[All]" allUniqueName="[Swiggy_Orders_Data].[restaurant_city_name].[All]" dimensionUniqueName="[Swiggy_Orders_Data]" displayFolder="" count="0" memberValueDatatype="130" unbalanced="0"/>
    <cacheHierarchy uniqueName="[Swiggy_Orders_Data].[delivery_time_in_seconds]" caption="delivery_time_in_seconds" attribute="1" defaultMemberUniqueName="[Swiggy_Orders_Data].[delivery_time_in_seconds].[All]" allUniqueName="[Swiggy_Orders_Data].[delivery_time_in_seconds].[All]" dimensionUniqueName="[Swiggy_Orders_Data]" displayFolder="" count="0" memberValueDatatype="20" unbalanced="0"/>
    <cacheHierarchy uniqueName="[Swiggy_Orders_Data].[order_total]" caption="order_total" attribute="1" defaultMemberUniqueName="[Swiggy_Orders_Data].[order_total].[All]" allUniqueName="[Swiggy_Orders_Data].[order_total].[All]" dimensionUniqueName="[Swiggy_Orders_Data]" displayFolder="" count="0" memberValueDatatype="20" unbalanced="0"/>
    <cacheHierarchy uniqueName="[Swiggy_Orders_Data].[order_total_with_tip]" caption="order_total_with_tip" attribute="1" defaultMemberUniqueName="[Swiggy_Orders_Data].[order_total_with_tip].[All]" allUniqueName="[Swiggy_Orders_Data].[order_total_with_tip].[All]" dimensionUniqueName="[Swiggy_Orders_Data]" displayFolder="" count="0" memberValueDatatype="20" unbalanced="0"/>
    <cacheHierarchy uniqueName="[Swiggy_Orders_Data].[net_total]" caption="net_total" attribute="1" defaultMemberUniqueName="[Swiggy_Orders_Data].[net_total].[All]" allUniqueName="[Swiggy_Orders_Data].[net_total].[All]" dimensionUniqueName="[Swiggy_Orders_Data]" displayFolder="" count="0" memberValueDatatype="20" unbalanced="0"/>
    <cacheHierarchy uniqueName="[Swiggy_Orders_Data].[item_total]" caption="item_total" attribute="1" defaultMemberUniqueName="[Swiggy_Orders_Data].[item_total].[All]" allUniqueName="[Swiggy_Orders_Data].[item_total].[All]" dimensionUniqueName="[Swiggy_Orders_Data]" displayFolder="" count="0" memberValueDatatype="5" unbalanced="0"/>
    <cacheHierarchy uniqueName="[Swiggy_Orders_Data].[free_delivery_discount_hit]" caption="free_delivery_discount_hit" attribute="1" defaultMemberUniqueName="[Swiggy_Orders_Data].[free_delivery_discount_hit].[All]" allUniqueName="[Swiggy_Orders_Data].[free_delivery_discount_hit].[All]" dimensionUniqueName="[Swiggy_Orders_Data]" displayFolder="" count="0" memberValueDatatype="20" unbalanced="0"/>
    <cacheHierarchy uniqueName="[Swiggy_Orders_Data].[restaurant_order_rating]" caption="restaurant_order_rating" attribute="1" defaultMemberUniqueName="[Swiggy_Orders_Data].[restaurant_order_rating].[All]" allUniqueName="[Swiggy_Orders_Data].[restaurant_order_rating].[All]" dimensionUniqueName="[Swiggy_Orders_Data]" displayFolder="" count="0" memberValueDatatype="20" unbalanced="0"/>
    <cacheHierarchy uniqueName="[Swiggy_Orders_Data].[restaurant_lat_lng]" caption="restaurant_lat_lng" attribute="1" defaultMemberUniqueName="[Swiggy_Orders_Data].[restaurant_lat_lng].[All]" allUniqueName="[Swiggy_Orders_Data].[restaurant_lat_lng].[All]" dimensionUniqueName="[Swiggy_Orders_Data]" displayFolder="" count="0" memberValueDatatype="130" unbalanced="0"/>
    <cacheHierarchy uniqueName="[Swiggy_Orders_Data].[restaurant_customer_distance]" caption="restaurant_customer_distance" attribute="1" defaultMemberUniqueName="[Swiggy_Orders_Data].[restaurant_customer_distance].[All]" allUniqueName="[Swiggy_Orders_Data].[restaurant_customer_distance].[All]" dimensionUniqueName="[Swiggy_Orders_Data]" displayFolder="" count="0" memberValueDatatype="5" unbalanced="0"/>
    <cacheHierarchy uniqueName="[Swiggy_Orders_Data].[coupon_code]" caption="coupon_code" attribute="1" defaultMemberUniqueName="[Swiggy_Orders_Data].[coupon_code].[All]" allUniqueName="[Swiggy_Orders_Data].[coupon_code].[All]" dimensionUniqueName="[Swiggy_Orders_Data]" displayFolder="" count="0" memberValueDatatype="130" unbalanced="0"/>
    <cacheHierarchy uniqueName="[Swiggy_Orders_Data].[order_payment_method]" caption="order_payment_method" attribute="1" defaultMemberUniqueName="[Swiggy_Orders_Data].[order_payment_method].[All]" allUniqueName="[Swiggy_Orders_Data].[order_payment_method].[All]" dimensionUniqueName="[Swiggy_Orders_Data]" displayFolder="" count="0" memberValueDatatype="130" unbalanced="0"/>
    <cacheHierarchy uniqueName="[Swiggy_Orders_Data].[restaurant_area_name]" caption="restaurant_area_name" attribute="1" defaultMemberUniqueName="[Swiggy_Orders_Data].[restaurant_area_name].[All]" allUniqueName="[Swiggy_Orders_Data].[restaurant_area_name].[All]" dimensionUniqueName="[Swiggy_Orders_Data]" displayFolder="" count="0" memberValueDatatype="130" unbalanced="0"/>
    <cacheHierarchy uniqueName="[Swiggy_Orders_Data].[on_time]" caption="on_time" attribute="1" defaultMemberUniqueName="[Swiggy_Orders_Data].[on_time].[All]" allUniqueName="[Swiggy_Orders_Data].[on_time].[All]" dimensionUniqueName="[Swiggy_Orders_Data]" displayFolder="" count="0" memberValueDatatype="11" unbalanced="0"/>
    <cacheHierarchy uniqueName="[Swiggy_Orders_Data].[rain_mode]" caption="rain_mode" attribute="1" defaultMemberUniqueName="[Swiggy_Orders_Data].[rain_mode].[All]" allUniqueName="[Swiggy_Orders_Data].[rain_mode].[All]" dimensionUniqueName="[Swiggy_Orders_Data]" displayFolder="" count="0" memberValueDatatype="20" unbalanced="0"/>
    <cacheHierarchy uniqueName="[Swiggy_Orders_Data].[Order Mod Date]" caption="Order Mod Date" attribute="1" time="1" defaultMemberUniqueName="[Swiggy_Orders_Data].[Order Mod Date].[All]" allUniqueName="[Swiggy_Orders_Data].[Order Mod Date].[All]" dimensionUniqueName="[Swiggy_Orders_Data]" displayFolder="" count="0" memberValueDatatype="7" unbalanced="0"/>
    <cacheHierarchy uniqueName="[Swiggy_Orders_Data].[area_name_code]" caption="area_name_code" attribute="1" defaultMemberUniqueName="[Swiggy_Orders_Data].[area_name_code].[All]" allUniqueName="[Swiggy_Orders_Data].[area_name_code].[All]" dimensionUniqueName="[Swiggy_Orders_Data]" displayFolder="" count="2" memberValueDatatype="130" unbalanced="0">
      <fieldsUsage count="2">
        <fieldUsage x="-1"/>
        <fieldUsage x="0"/>
      </fieldsUsage>
    </cacheHierarchy>
    <cacheHierarchy uniqueName="[Swiggy_Orders_Data].[mod restaurant name]" caption="mod restaurant name" attribute="1" defaultMemberUniqueName="[Swiggy_Orders_Data].[mod restaurant name].[All]" allUniqueName="[Swiggy_Orders_Data].[mod restaurant name].[All]" dimensionUniqueName="[Swiggy_Orders_Data]" displayFolder="" count="0" memberValueDatatype="130" unbalanced="0"/>
    <cacheHierarchy uniqueName="[Swiggy_Orders_Data].[Latitude]" caption="Latitude" attribute="1" defaultMemberUniqueName="[Swiggy_Orders_Data].[Latitude].[All]" allUniqueName="[Swiggy_Orders_Data].[Latitude].[All]" dimensionUniqueName="[Swiggy_Orders_Data]" displayFolder="" count="0" memberValueDatatype="5" unbalanced="0"/>
    <cacheHierarchy uniqueName="[Swiggy_Orders_Data].[Longitude]" caption="Longitude" attribute="1" defaultMemberUniqueName="[Swiggy_Orders_Data].[Longitude].[All]" allUniqueName="[Swiggy_Orders_Data].[Longitude].[All]" dimensionUniqueName="[Swiggy_Orders_Data]" displayFolder="" count="0" memberValueDatatype="5" unbalanced="0"/>
    <cacheHierarchy uniqueName="[Table3].[Latitude]" caption="Latitude" attribute="1" defaultMemberUniqueName="[Table3].[Latitude].[All]" allUniqueName="[Table3].[Latitude].[All]" dimensionUniqueName="[Table3]" displayFolder="" count="0" memberValueDatatype="130" unbalanced="0"/>
    <cacheHierarchy uniqueName="[Table3].[Longitude]" caption="Longitude" attribute="1" defaultMemberUniqueName="[Table3].[Longitude].[All]" allUniqueName="[Table3].[Longitude].[All]" dimensionUniqueName="[Table3]" displayFolder="" count="0" memberValueDatatype="130" unbalanced="0"/>
    <cacheHierarchy uniqueName="[Measures].[__XL_Count Table3]" caption="__XL_Count Table3" measure="1" displayFolder="" measureGroup="Table3" count="0" hidden="1"/>
    <cacheHierarchy uniqueName="[Measures].[__XL_Count Swiggy_Orders_Data]" caption="__XL_Count Swiggy_Orders_Data" measure="1" displayFolder="" measureGroup="Swiggy_Orders_Data" count="0" hidden="1"/>
    <cacheHierarchy uniqueName="[Measures].[__XL_Count Food Item Level Data]" caption="__XL_Count Food Item Level Data" measure="1" displayFolder="" measureGroup="Food Item Level Data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Food Item Level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Food Item Level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4">
    <dimension name="Food Item Level Data" uniqueName="[Food Item Level Data]" caption="Food Item Level Data"/>
    <dimension measure="1" name="Measures" uniqueName="[Measures]" caption="Measures"/>
    <dimension name="Swiggy_Orders_Data" uniqueName="[Swiggy_Orders_Data]" caption="Swiggy_Orders_Data"/>
    <dimension name="Table3" uniqueName="[Table3]" caption="Table3"/>
  </dimensions>
  <measureGroups count="3">
    <measureGroup name="Food Item Level Data" caption="Food Item Level Data"/>
    <measureGroup name="Swiggy_Orders_Data" caption="Swiggy_Orders_Data"/>
    <measureGroup name="Table3" caption="Table3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855.480822916667" createdVersion="8" refreshedVersion="8" minRefreshableVersion="3" recordCount="170" xr:uid="{74A923B8-DF89-4BB8-AF3C-B412E57AE867}">
  <cacheSource type="worksheet">
    <worksheetSource ref="A1:E171" sheet="Food Item Level Data"/>
  </cacheSource>
  <cacheFields count="5">
    <cacheField name="order_id" numFmtId="1">
      <sharedItems containsSemiMixedTypes="0" containsString="0" containsNumber="1" containsInteger="1" minValue="171863054117" maxValue="175244332362622"/>
    </cacheField>
    <cacheField name="order_items.name" numFmtId="0">
      <sharedItems count="110">
        <s v="Michel (Chicken &amp; Mozza Sandwich)"/>
        <s v="Supreme Boneless Chicken Biryani"/>
        <s v="Mutton Bone Soup"/>
        <s v="Mississippi Mud Pie"/>
        <s v="Apple Crumble Pie"/>
        <s v="Banana Peanutbutter Overnight Oats [350kcals][20gm protein]"/>
        <s v="Dark Chocolate Smoothie Bowl."/>
        <s v="Chicken Kheema Lasagne"/>
        <s v="Corn &amp; Pepper Lasagne"/>
        <s v="Veg. Ramyun"/>
        <s v="Chicken Katsu Ramyun"/>
        <s v="Onion Rings"/>
        <s v="Cajun Spiced Fries"/>
        <s v="Special Pandi Curry Thali"/>
        <s v="Overload Brownie [1 Piece]"/>
        <s v="Chocolate Mousse Cup [100g]"/>
        <s v="Millionaire Brownie [1 Piece]"/>
        <s v="Koli Curry With Ney Kulu/Noolputtu"/>
        <s v="Pepperoni Chicken Tikka lasagna"/>
        <s v="Raspberry Dark Chocolate"/>
        <s v="Dark Chocolate Chunk Sea Salt"/>
        <s v="Smoothie Bowl Of The Day[35Gm Protein]"/>
        <s v="Midnight Acai Delight[vegan][30-50gm Protein]"/>
        <s v="Noolputtu (2 Pcs)"/>
        <s v="Thith Pandi (Chilly Pork)"/>
        <s v="Pressure Cooker Chicken Curry and Homestyle Amritsari Dal Meal"/>
        <s v="Rasayan High Fiber Bowl[ 500gm 250kcals]"/>
        <s v="Midnight Acai Delight [320Kcals] [25Gm-45Gm Protein]"/>
        <s v="Wok Tossed Hakka Noodles"/>
        <s v="Hugo (Fried Chicken &amp; Mozza Sandwich)"/>
        <s v="Belgian Dark Chocolate Milkshake"/>
        <s v="Chicken Fillet Burger Combo"/>
        <s v="Single Lamb Cheese Burger"/>
        <s v="Roasted Chicken Strip Sandwich"/>
        <s v="B.M.T Sandwich"/>
        <s v="High-Protein Chicken Omelette"/>
        <s v="Chicken Pepper Dry Boneless"/>
        <s v="Ferrero Magic"/>
        <s v="Nutty Chocolate Sundae"/>
        <s v="Melted Cheese Chicken Shawarma"/>
        <s v="Nutella Cheese Cake"/>
        <s v="Blueberry Cheese Cake"/>
        <s v="Pork Chashu Ramyun"/>
        <s v="Chocolate Hazelnut Cake (Nutella Cake) (Eggless)"/>
        <s v="Tandoori Chicken Tikka Sandwich Guiltfree"/>
        <s v="Mint Choco Chip Ice Cream [125 Ml]"/>
        <s v="Salted Caramel Ice Cream [125 Ml]"/>
        <s v="Lebenese Shawarma"/>
        <s v="Mexican Green Wave Pizza"/>
        <s v="Naked Nutella Waffle"/>
        <s v="Salted Caramel Brownie"/>
        <s v="Nutella Stuffed Chocochips Cookie(1 Pc)"/>
        <s v="Chicken Kheema Cheese Paratha"/>
        <s v="Aloo Cheese Paratha"/>
        <s v="Big Spicy Paneer Wrap"/>
        <s v="Trapper Creek (Buff)"/>
        <s v="Paris Delice (Buff)"/>
        <s v="Tandoori Chicken Tikka Cheese Pull Sandwich"/>
        <s v="Spicy Chick'n Cheese"/>
        <s v="Chicken Varattiyathu"/>
        <s v="Idiyappam"/>
        <s v="Peanut Butter &amp; Snicker Thickshake"/>
        <s v="Choose Your Combo"/>
        <s v="Appam (1pc)"/>
        <s v="Tender Coconut Pudding"/>
        <s v="Chicken Varutharacha Curry"/>
        <s v="Chicken Darjeeling Steam Momo"/>
        <s v="Chicken Fried Momo Mania"/>
        <s v="Cheese Ramyun"/>
        <s v="Dosa (2 Pcs) Chicken Curry"/>
        <s v="Grilled Spicy Lamb Burger"/>
        <s v="Himalayan Steamed Chicken Momos"/>
        <s v="Ghee Gulab Jamun (2 Pcs)"/>
        <s v="Garlic Mayo"/>
        <s v="Nool Porota (1pc)"/>
        <s v="Meat Curry"/>
        <s v="Cold Coffee (275ml)"/>
        <s v="Masala Dosa"/>
        <s v="Idli (2 Pcs)"/>
        <s v="Boneless Chicken Manchurian"/>
        <s v="Chicken Kheema Paratha"/>
        <s v="Chicken &amp; Egg Pothichoru"/>
        <s v="Sugarcane With Ginger"/>
        <s v="Prawns Pepper Dry"/>
        <s v="12&quot; Badmash Pizza"/>
        <s v="Cajun Corn Kernels"/>
        <s v="Fish Fingers"/>
        <s v="Blue Berry Cheese Cake"/>
        <s v="Firecracker Wings"/>
        <s v="Orange Dynamite Wings"/>
        <s v="Creamy Buffalo"/>
        <s v="Chocolate And Love Smoothie Bowl"/>
        <s v="Calvin Eats Nutella"/>
        <s v="Trapper Creek"/>
        <s v="Spaghetti Carbonara Chicken"/>
        <s v="Istah's Chicken Shawarma in Rumali"/>
        <s v="Belgian Chocolate Milk Shake"/>
        <s v="Chicken Kothu Parotta"/>
        <s v="Panoor Special Chicken Leg Fry"/>
        <s v="Roasted Garlic Chicken Soup"/>
        <s v="Honey Chicken Peppers"/>
        <s v="Chicken Spaghetti Al Forno"/>
        <s v="Belgian Chocolate Thick Shake"/>
        <s v="Peanut Butter Indulgence Thick Shake"/>
        <s v="Americano Pasta Non-veg"/>
        <s v="Non Veg Club S/w"/>
        <s v="Classic Chicken Steak"/>
        <s v="Open Butter Masala Dosa "/>
        <s v="Dark Chocolate Cake [350 Grams, Serves 3]"/>
        <s v="Japanese Cotton Soft Cheesecake [125 Grams]"/>
      </sharedItems>
    </cacheField>
    <cacheField name="order_items.is_veg" numFmtId="0">
      <sharedItems containsSemiMixedTypes="0" containsString="0" containsNumber="1" containsInteger="1" minValue="0" maxValue="1"/>
    </cacheField>
    <cacheField name="order_items.quantity" numFmtId="0">
      <sharedItems containsSemiMixedTypes="0" containsString="0" containsNumber="1" containsInteger="1" minValue="1" maxValue="3"/>
    </cacheField>
    <cacheField name="Veg/Non-Veg" numFmtId="0">
      <sharedItems count="2">
        <s v="Non-Veg"/>
        <s v="Ve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175244332362622"/>
    <b v="1"/>
    <s v="SWIGGYIT"/>
    <s v="[{&quot;id&quot;:&quot;7740ff94-cc8f-41cf-b6ec-d4c97cbd0060&quot;,&quot;super_type&quot;:&quot;SUPERTYPE_UNSPECIFIED&quot;,&quot;total_offer_discount&quot;:120,&quot;discount_share&quot;:{&quot;swiggy_discount&quot;:67.2,&quot;store_discount&quot;:52.8,&quot;alliance_discount&quot;:0},&quot;discount_type&quot;:&quot;PERCENTAGE&quot;,&quot;description&quot;:&quot;60% off&quot;,&quot;fixed_charges&quot;:{&quot;gp&quot;:{&quot;id&quot;:&quot;&quot;,&quot;final_price&quot;:0}}}]"/>
    <x v="0"/>
    <s v="2024-05-21 12:29:13"/>
    <n v="21191609"/>
    <x v="0"/>
    <s v="[Record]"/>
    <n v="434304"/>
    <x v="0"/>
    <s v="No.690/A, 14th Main, 100ft Road, JP Nagar 2nd Phase, Bangalore 560078."/>
    <s v="JP Nagar"/>
    <s v="Bangalore"/>
    <n v="1587"/>
    <x v="0"/>
    <n v="146"/>
    <n v="146"/>
    <n v="225"/>
    <n v="43"/>
    <n v="0"/>
    <s v="12.90649867,77.59165435"/>
    <n v="2.2000000000000002"/>
    <s v="SWIGGYIT"/>
    <s v="UPICollect"/>
    <s v="JP Nagar"/>
    <x v="0"/>
    <n v="0"/>
    <x v="0"/>
    <x v="0"/>
    <s v="Paris Panini"/>
    <n v="12.90649867"/>
    <n v="77.591654349999999"/>
  </r>
  <r>
    <n v="175167017704058"/>
    <b v="0"/>
    <s v=""/>
    <s v=""/>
    <x v="1"/>
    <s v="2024-05-20 15:00:38"/>
    <n v="21191609"/>
    <x v="0"/>
    <s v="[Record]"/>
    <n v="12804"/>
    <x v="1"/>
    <s v="JP nagar, 147, 24th Main Rd, R.K Colony, Marenahalli, 2nd Phase, J. P. Nagar, Bengaluru, Karnataka 560078"/>
    <s v="JP Nagar"/>
    <s v="Bangalore"/>
    <n v="1853"/>
    <x v="1"/>
    <n v="555"/>
    <n v="555"/>
    <n v="480"/>
    <n v="41"/>
    <n v="0"/>
    <s v="12.914599,77.585509"/>
    <n v="2.2000000000000002"/>
    <s v=""/>
    <s v="UPICollect"/>
    <s v="JP Nagar"/>
    <x v="0"/>
    <n v="0"/>
    <x v="1"/>
    <x v="0"/>
    <s v="Nandhana Palace"/>
    <n v="12.914599000000001"/>
    <n v="77.585509000000002"/>
  </r>
  <r>
    <n v="175017114796029"/>
    <b v="1"/>
    <s v="MISSEDYOU"/>
    <s v="[{&quot;id&quot;:&quot;c1399a7d-65f4-486a-ba3e-72a9d9c70cad&quot;,&quot;super_type&quot;:&quot;SUPERTYPE_UNSPECIFIED&quot;,&quot;total_offer_discount&quot;:80,&quot;discount_share&quot;:{&quot;swiggy_discount&quot;:16,&quot;store_discount&quot;:64,&quot;alliance_discount&quot;:0},&quot;discount_type&quot;:&quot;PERCENTAGE&quot;,&quot;description&quot;:&quot;40% off&quot;,&quot;fixed_charges&quot;:{&quot;gp&quot;:{&quot;id&quot;:&quot;&quot;,&quot;final_price&quot;:0}}}]"/>
    <x v="2"/>
    <s v="2024-05-18 21:22:15"/>
    <n v="21191609"/>
    <x v="0"/>
    <s v="[Record]"/>
    <n v="15250"/>
    <x v="2"/>
    <s v="#156, 43rd Cross, 8th Block, Next to Udupi Hub Resto, Jayanagar, Bangalore"/>
    <s v="8th Block"/>
    <s v="Bangalore"/>
    <n v="1559"/>
    <x v="2"/>
    <n v="382"/>
    <n v="382"/>
    <n v="400"/>
    <n v="69"/>
    <n v="0"/>
    <s v="12.91835714,77.578127"/>
    <n v="3.6"/>
    <s v="MISSEDYOU"/>
    <s v="UPICollect"/>
    <s v="Jayanagar"/>
    <x v="1"/>
    <n v="0"/>
    <x v="2"/>
    <x v="1"/>
    <s v="The Ganache Factory"/>
    <n v="12.918357139999999"/>
    <n v="77.578126999999995"/>
  </r>
  <r>
    <n v="174973046023416"/>
    <b v="1"/>
    <s v="SWIGGYIT"/>
    <s v="[{&quot;id&quot;:&quot;28bf3ebb-4a69-4a92-88a4-f491a5f86e17&quot;,&quot;super_type&quot;:&quot;SUPERTYPE_UNSPECIFIED&quot;,&quot;total_offer_discount&quot;:39.99,&quot;discount_share&quot;:{&quot;swiggy_discount&quot;:0,&quot;store_discount&quot;:39.99,&quot;alliance_discount&quot;:0},&quot;discount_type&quot;:&quot;PERCENTAGE&quot;,&quot;description&quot;:&quot;10% off&quot;,&quot;fixed_charges&quot;:{&quot;gp&quot;:{&quot;id&quot;:&quot;&quot;,&quot;final_price&quot;:0}}}]"/>
    <x v="3"/>
    <s v="2024-05-18 09:07:44"/>
    <n v="21191609"/>
    <x v="0"/>
    <s v="[Record]"/>
    <n v="630473"/>
    <x v="3"/>
    <s v="652,13th cross,29th main road BTM 2nd stage,560078, Bangalore Karnataka"/>
    <s v="Health Bar"/>
    <s v="Bangalore"/>
    <n v="3760"/>
    <x v="3"/>
    <n v="421"/>
    <n v="421"/>
    <n v="415"/>
    <n v="46"/>
    <n v="0"/>
    <s v="12.907799,77.613487"/>
    <n v="2.5"/>
    <s v="SWIGGYIT"/>
    <s v="UPICollect"/>
    <s v="BTM 2nd Stage"/>
    <x v="0"/>
    <n v="0"/>
    <x v="2"/>
    <x v="2"/>
    <s v="Rasayan"/>
    <n v="12.907799000000001"/>
    <n v="77.613487000000006"/>
  </r>
  <r>
    <n v="174906705849277"/>
    <b v="1"/>
    <s v="DEALICIOUS"/>
    <s v="[{&quot;id&quot;:&quot;91e6269d-640b-443e-a7d4-46089c0574f6&quot;,&quot;super_type&quot;:&quot;SUPERTYPE_UNSPECIFIED&quot;,&quot;total_offer_discount&quot;:124.99,&quot;discount_share&quot;:{&quot;swiggy_discount&quot;:0,&quot;store_discount&quot;:124.99,&quot;alliance_discount&quot;:0},&quot;discount_type&quot;:&quot;FLAT&quot;,&quot;description&quot;:&quot;FLAT125 off&quot;,&quot;fixed_charges&quot;:{&quot;gp&quot;:{&quot;id&quot;:&quot;&quot;,&quot;final_price&quot;:0}}}]"/>
    <x v="4"/>
    <s v="2024-05-17 14:42:09"/>
    <n v="21191609"/>
    <x v="0"/>
    <s v="[Record]"/>
    <n v="34363"/>
    <x v="4"/>
    <s v="Shop No.4, Frist Floor, NGK Complex, Tavarekere Main Rd, 1st Stage, BTM Layout, Bengaluru, Karnataka 560029 ( Above DMart Ready)"/>
    <s v="NGK Complex"/>
    <s v="Bangalore"/>
    <n v="2257"/>
    <x v="4"/>
    <n v="556"/>
    <n v="556"/>
    <n v="624"/>
    <n v="35"/>
    <n v="0"/>
    <s v="12.920219,77.610520"/>
    <n v="2.2000000000000002"/>
    <s v="DEALICIOUS"/>
    <s v="UPICollect"/>
    <s v="BTM 1st Stage"/>
    <x v="0"/>
    <n v="0"/>
    <x v="3"/>
    <x v="2"/>
    <s v="Firangi Bake"/>
    <n v="12.920218999999999"/>
    <n v="77.610519999999994"/>
  </r>
  <r>
    <n v="174329455765789"/>
    <b v="1"/>
    <s v="MDM150"/>
    <s v="[{&quot;id&quot;:&quot;60d51c5f-a27d-407c-9d72-c55f498dea78&quot;,&quot;super_type&quot;:&quot;SUPERTYPE_UNSPECIFIED&quot;,&quot;total_offer_discount&quot;:149.99,&quot;discount_share&quot;:{&quot;swiggy_discount&quot;:15,&quot;store_discount&quot;:134.99,&quot;alliance_discount&quot;:0},&quot;discount_type&quot;:&quot;FLAT&quot;,&quot;description&quot;:&quot;Flat ₹150 off&quot;,&quot;fixed_charges&quot;:{&quot;gp&quot;:{&quot;id&quot;:&quot;&quot;,&quot;final_price&quot;:0}}}]"/>
    <x v="5"/>
    <s v="2024-05-10 22:21:01"/>
    <n v="21191609"/>
    <x v="0"/>
    <s v="[Record]"/>
    <n v="474244"/>
    <x v="5"/>
    <s v="No.5, 1st Floor, 9th Main Road, 5th block, Jayanagar, 560041"/>
    <s v="5th Block"/>
    <s v="Bangalore"/>
    <n v="3262"/>
    <x v="5"/>
    <n v="1062"/>
    <n v="1062"/>
    <n v="1050"/>
    <n v="45"/>
    <n v="0"/>
    <s v="12.92243257,77.58390586"/>
    <n v="3.2"/>
    <s v="MDM150"/>
    <s v="Cash"/>
    <s v="Jayanagar"/>
    <x v="0"/>
    <n v="0"/>
    <x v="4"/>
    <x v="1"/>
    <s v="Daily Sushi"/>
    <n v="12.92243257"/>
    <n v="77.583905860000002"/>
  </r>
  <r>
    <n v="174318296922309"/>
    <b v="1"/>
    <s v="SWIGGYIT"/>
    <s v="[{&quot;id&quot;:&quot;7740ff94-cc8f-41cf-b6ec-d4c97cbd0060&quot;,&quot;super_type&quot;:&quot;SUPERTYPE_UNSPECIFIED&quot;,&quot;total_offer_discount&quot;:120,&quot;discount_share&quot;:{&quot;swiggy_discount&quot;:67.2,&quot;store_discount&quot;:52.8,&quot;alliance_discount&quot;:0},&quot;discount_type&quot;:&quot;PERCENTAGE&quot;,&quot;description&quot;:&quot;60% off&quot;,&quot;fixed_charges&quot;:{&quot;gp&quot;:{&quot;id&quot;:&quot;&quot;,&quot;final_price&quot;:0}}}]"/>
    <x v="6"/>
    <s v="2024-05-10 19:15:01"/>
    <n v="21191609"/>
    <x v="0"/>
    <s v="[Record]"/>
    <n v="434304"/>
    <x v="0"/>
    <s v="No.690/A, 14th Main, 100ft Road, JP Nagar 2nd Phase, Bangalore 560078."/>
    <s v="JP Nagar"/>
    <s v="Bangalore"/>
    <n v="2401"/>
    <x v="6"/>
    <n v="440"/>
    <n v="440"/>
    <n v="480"/>
    <n v="45"/>
    <n v="0"/>
    <s v="12.90649867,77.59165435"/>
    <n v="2.1"/>
    <s v="SWIGGYIT"/>
    <s v="Cash"/>
    <s v="JP Nagar"/>
    <x v="0"/>
    <n v="0"/>
    <x v="4"/>
    <x v="0"/>
    <s v="Paris Panini"/>
    <n v="12.90649867"/>
    <n v="77.591654349999999"/>
  </r>
  <r>
    <n v="174118005152904"/>
    <b v="1"/>
    <s v="SWIGGYIT"/>
    <s v="[{&quot;id&quot;:&quot;8a02a1ac-9efe-46ea-9649-fc635c7c8618&quot;,&quot;super_type&quot;:&quot;SUPERTYPE_UNSPECIFIED&quot;,&quot;total_offer_discount&quot;:35,&quot;discount_share&quot;:{&quot;swiggy_discount&quot;:0,&quot;store_discount&quot;:35,&quot;alliance_discount&quot;:0},&quot;discount_type&quot;:&quot;PERCENTAGE&quot;,&quot;description&quot;:&quot;10% off&quot;,&quot;fixed_charges&quot;:{&quot;gp&quot;:{&quot;id&quot;:&quot;&quot;,&quot;final_price&quot;:0}}}]"/>
    <x v="7"/>
    <s v="2024-05-08 11:37:28"/>
    <n v="21191609"/>
    <x v="0"/>
    <s v="[Record]"/>
    <n v="534276"/>
    <x v="6"/>
    <s v="16,2ND FLOOR GOWRY'S BUILDING,ABOVE DOMINO'S,SY NO 13 OF AREKERE VILLAGE,BANNERGHATTA,BANGLAORE,jayanagar,B.B.M.PM south, karnataka - 560076"/>
    <s v="Mico Layout"/>
    <s v="Bangalore"/>
    <n v="2824"/>
    <x v="7"/>
    <n v="352"/>
    <n v="352"/>
    <n v="350"/>
    <n v="36"/>
    <n v="0"/>
    <s v="12.89009167,77.5976944"/>
    <n v="3.2"/>
    <s v="SWIGGYIT"/>
    <s v="UPICollect"/>
    <s v="Arekere"/>
    <x v="1"/>
    <n v="0"/>
    <x v="5"/>
    <x v="3"/>
    <s v="Naalnaad Mane"/>
    <n v="12.89009167"/>
    <n v="77.597694399999995"/>
  </r>
  <r>
    <n v="174075356745024"/>
    <b v="0"/>
    <s v=""/>
    <s v=""/>
    <x v="8"/>
    <s v="2024-05-07 23:46:17"/>
    <n v="21191609"/>
    <x v="0"/>
    <s v="[Record]"/>
    <n v="524936"/>
    <x v="7"/>
    <s v="SHOP NO-39,SHABARI ARCADE,14TH MAIN ROAD,OPP MAX SHOWROOM, HSR LAYOUT,BANGALORE-560102, BTM Layout , B.B.M.P South, Karnataka-560102"/>
    <s v="7th Sector"/>
    <s v="Bangalore"/>
    <n v="2011"/>
    <x v="8"/>
    <n v="644"/>
    <n v="644"/>
    <n v="275"/>
    <n v="71"/>
    <n v="0"/>
    <s v="12.91135428,77.6380469"/>
    <n v="5.2"/>
    <s v=""/>
    <s v="UPICollect"/>
    <s v="HSR Layout"/>
    <x v="1"/>
    <n v="0"/>
    <x v="6"/>
    <x v="4"/>
    <s v="Theobroma"/>
    <n v="12.911354279999999"/>
    <n v="77.638046900000006"/>
  </r>
  <r>
    <n v="174067299373268"/>
    <b v="0"/>
    <s v=""/>
    <s v=""/>
    <x v="9"/>
    <s v="2024-05-07 21:31:57"/>
    <n v="21191609"/>
    <x v="0"/>
    <s v="[Record]"/>
    <n v="437065"/>
    <x v="7"/>
    <s v="SHOP NO. 475, GROUND FLOOR, 39TH &quot;C&quot; CROSS, 9TH MAIN, 5THBLOCK, JAYANAGAR,BANGALORE, Jayanagar ,B.B.M.P South, Karnataka,560041"/>
    <s v="5th Block"/>
    <s v="Bangalore"/>
    <n v="1455"/>
    <x v="9"/>
    <n v="387"/>
    <n v="387"/>
    <n v="275"/>
    <n v="0"/>
    <n v="0"/>
    <s v="12.92017647,77.5836421"/>
    <n v="3.2"/>
    <s v=""/>
    <s v="UPICollect"/>
    <s v="Jayanagar"/>
    <x v="1"/>
    <n v="0"/>
    <x v="6"/>
    <x v="1"/>
    <s v="Theobroma"/>
    <n v="12.920176469999999"/>
    <n v="77.583642100000006"/>
  </r>
  <r>
    <n v="174058332503576"/>
    <b v="1"/>
    <s v="SWIGGYIT"/>
    <s v="[{&quot;id&quot;:&quot;8a02a1ac-9efe-46ea-9649-fc635c7c8618&quot;,&quot;super_type&quot;:&quot;SUPERTYPE_UNSPECIFIED&quot;,&quot;total_offer_discount&quot;:28,&quot;discount_share&quot;:{&quot;swiggy_discount&quot;:0,&quot;store_discount&quot;:28,&quot;alliance_discount&quot;:0},&quot;discount_type&quot;:&quot;PERCENTAGE&quot;,&quot;description&quot;:&quot;10% off&quot;,&quot;fixed_charges&quot;:{&quot;gp&quot;:{&quot;id&quot;:&quot;&quot;,&quot;final_price&quot;:0}}}]"/>
    <x v="10"/>
    <s v="2024-05-07 19:02:53"/>
    <n v="21191609"/>
    <x v="0"/>
    <s v="[Record]"/>
    <n v="534276"/>
    <x v="6"/>
    <s v="16,2ND FLOOR GOWRY'S BUILDING,ABOVE DOMINO'S,SY NO 13 OF AREKERE VILLAGE,BANNERGHATTA,BANGLAORE,jayanagar,B.B.M.PM south, karnataka - 560076"/>
    <s v="Mico Layout"/>
    <s v="Bangalore"/>
    <n v="4292"/>
    <x v="10"/>
    <n v="320"/>
    <n v="320"/>
    <n v="280"/>
    <n v="0"/>
    <n v="0"/>
    <s v="12.89009167,77.5976944"/>
    <n v="3.2"/>
    <s v="SWIGGYIT"/>
    <s v="UPICollect"/>
    <s v="Arekere"/>
    <x v="0"/>
    <n v="0"/>
    <x v="6"/>
    <x v="3"/>
    <s v="Naalnaad Mane"/>
    <n v="12.89009167"/>
    <n v="77.597694399999995"/>
  </r>
  <r>
    <n v="174037702433562"/>
    <b v="1"/>
    <s v="TRYNEW"/>
    <s v="[{&quot;id&quot;:&quot;5c8d9a7d-f899-4dcc-998e-d3e0b2960661&quot;,&quot;super_type&quot;:&quot;SUPERTYPE_UNSPECIFIED&quot;,&quot;total_offer_discount&quot;:80,&quot;discount_share&quot;:{&quot;swiggy_discount&quot;:0,&quot;store_discount&quot;:80,&quot;alliance_discount&quot;:0},&quot;discount_type&quot;:&quot;PERCENTAGE&quot;,&quot;description&quot;:&quot;40% off&quot;,&quot;fixed_charges&quot;:{&quot;gp&quot;:{&quot;id&quot;:&quot;&quot;,&quot;final_price&quot;:0}}}]"/>
    <x v="11"/>
    <s v="2024-05-07 13:18:44"/>
    <n v="21191609"/>
    <x v="0"/>
    <s v="[Record]"/>
    <n v="34363"/>
    <x v="4"/>
    <s v="Shop No.4, Frist Floor, NGK Complex, Tavarekere Main Rd, 1st Stage, BTM Layout, Bengaluru, Karnataka 560029 ( Above DMart Ready)"/>
    <s v="NGK Complex"/>
    <s v="Bangalore"/>
    <n v="2730"/>
    <x v="10"/>
    <n v="320"/>
    <n v="320"/>
    <n v="325"/>
    <n v="0"/>
    <n v="0"/>
    <s v="12.920219,77.610520"/>
    <n v="2.2000000000000002"/>
    <s v="TRYNEW"/>
    <s v="UPICollect"/>
    <s v="BTM 1st Stage"/>
    <x v="0"/>
    <n v="0"/>
    <x v="6"/>
    <x v="2"/>
    <s v="Firangi Bake"/>
    <n v="12.920218999999999"/>
    <n v="77.610519999999994"/>
  </r>
  <r>
    <n v="174026206595017"/>
    <b v="1"/>
    <s v="SWIGGYIT"/>
    <s v="[{&quot;id&quot;:&quot;28bf3ebb-4a69-4a92-88a4-f491a5f86e17&quot;,&quot;super_type&quot;:&quot;SUPERTYPE_UNSPECIFIED&quot;,&quot;total_offer_discount&quot;:23.9,&quot;discount_share&quot;:{&quot;swiggy_discount&quot;:0,&quot;store_discount&quot;:23.9,&quot;alliance_discount&quot;:0},&quot;discount_type&quot;:&quot;PERCENTAGE&quot;,&quot;description&quot;:&quot;10% off&quot;,&quot;fixed_charges&quot;:{&quot;gp&quot;:{&quot;id&quot;:&quot;&quot;,&quot;final_price&quot;:0}}}]"/>
    <x v="12"/>
    <s v="2024-05-07 10:07:00"/>
    <n v="21191609"/>
    <x v="0"/>
    <s v="[Record]"/>
    <n v="630473"/>
    <x v="3"/>
    <s v="652,13th cross,29th main road BTM 2nd stage,560078, Bangalore Karnataka"/>
    <s v="Health Bar"/>
    <s v="Bangalore"/>
    <n v="1927"/>
    <x v="11"/>
    <n v="275"/>
    <n v="275"/>
    <n v="239"/>
    <n v="10"/>
    <n v="0"/>
    <s v="12.907799,77.613487"/>
    <n v="2.5"/>
    <s v="SWIGGYIT"/>
    <s v="UPICollect"/>
    <s v="BTM 2nd Stage"/>
    <x v="1"/>
    <n v="0"/>
    <x v="6"/>
    <x v="2"/>
    <s v="Rasayan"/>
    <n v="12.907799000000001"/>
    <n v="77.613487000000006"/>
  </r>
  <r>
    <n v="173972919485563"/>
    <b v="1"/>
    <s v="SWIGGYIT"/>
    <s v="[{&quot;id&quot;:&quot;137a1aed-678a-41ce-ac11-088fcce35f29&quot;,&quot;super_type&quot;:&quot;SUPERTYPE_UNSPECIFIED&quot;,&quot;total_offer_discount&quot;:100,&quot;discount_share&quot;:{&quot;swiggy_discount&quot;:48,&quot;store_discount&quot;:52,&quot;alliance_discount&quot;:0},&quot;discount_type&quot;:&quot;PERCENTAGE&quot;,&quot;description&quot;:&quot;50% off&quot;,&quot;fixed_charges&quot;:{&quot;gp&quot;:{&quot;id&quot;:&quot;&quot;,&quot;final_price&quot;:0}}}]"/>
    <x v="13"/>
    <s v="2024-05-06 19:19:03"/>
    <n v="21191609"/>
    <x v="0"/>
    <s v="[Record]"/>
    <n v="434304"/>
    <x v="0"/>
    <s v="No.690/A, 14th Main, 100ft Road, JP Nagar 2nd Phase, Bangalore 560078."/>
    <s v="JP Nagar"/>
    <s v="Bangalore"/>
    <n v="2041"/>
    <x v="12"/>
    <n v="334"/>
    <n v="334"/>
    <n v="385"/>
    <n v="42"/>
    <n v="0"/>
    <s v="12.90649867,77.59165435"/>
    <n v="2.1"/>
    <s v="SWIGGYIT"/>
    <s v="UPICollect"/>
    <s v="JP Nagar"/>
    <x v="0"/>
    <n v="0"/>
    <x v="7"/>
    <x v="0"/>
    <s v="Paris Panini"/>
    <n v="12.90649867"/>
    <n v="77.591654349999999"/>
  </r>
  <r>
    <n v="173961191807457"/>
    <b v="0"/>
    <s v=""/>
    <s v=""/>
    <x v="14"/>
    <s v="2024-05-06 16:03:45"/>
    <n v="21191609"/>
    <x v="0"/>
    <s v="[Record]"/>
    <n v="694704"/>
    <x v="8"/>
    <s v="NO 307, LALEHZAR APARTMENTS PALACE ROAD SHIVAJINAGARA B.B.M.P EAST KARNATAKA"/>
    <s v="Lalehzar Apartments Palace Road"/>
    <s v="Bangalore"/>
    <n v="4528"/>
    <x v="13"/>
    <n v="509"/>
    <n v="509"/>
    <n v="370"/>
    <n v="0"/>
    <n v="0"/>
    <s v="12.98505012,77.5880017"/>
    <n v="10.199999999999999"/>
    <s v=""/>
    <s v="UPICollect"/>
    <s v="Malleshwaram"/>
    <x v="1"/>
    <n v="0"/>
    <x v="7"/>
    <x v="5"/>
    <s v="Love And Crumble"/>
    <n v="12.98505012"/>
    <n v="77.588001700000007"/>
  </r>
  <r>
    <n v="173953404362535"/>
    <b v="1"/>
    <s v="DEALICIOUS"/>
    <s v="[{&quot;id&quot;:&quot;8ecc3140-454d-483f-810e-78be04d68af5&quot;,&quot;super_type&quot;:&quot;SUPERTYPE_UNSPECIFIED&quot;,&quot;total_offer_discount&quot;:124.99,&quot;discount_share&quot;:{&quot;swiggy_discount&quot;:0,&quot;store_discount&quot;:124.99,&quot;alliance_discount&quot;:0},&quot;discount_type&quot;:&quot;FLAT&quot;,&quot;description&quot;:&quot;FLAT125 off&quot;,&quot;fixed_charges&quot;:{&quot;gp&quot;:{&quot;id&quot;:&quot;&quot;,&quot;final_price&quot;:0}}}]"/>
    <x v="15"/>
    <s v="2024-05-06 13:53:46"/>
    <n v="21191609"/>
    <x v="0"/>
    <s v="[Record]"/>
    <n v="34381"/>
    <x v="4"/>
    <s v="No 87/15/638/2 Nanjappa garden, Katha no - 1785/87/15/638/2, Arekere Village, begur hobali, Bangalore South taluk, Bangalore - 560076"/>
    <s v="Begur Hobali"/>
    <s v="Bangalore"/>
    <n v="3728"/>
    <x v="4"/>
    <n v="556"/>
    <n v="556"/>
    <n v="624"/>
    <n v="48"/>
    <n v="0"/>
    <s v="12.885643,77.602120"/>
    <n v="3.4"/>
    <s v="DEALICIOUS"/>
    <s v="UPICollect"/>
    <s v="Arekere"/>
    <x v="0"/>
    <n v="0"/>
    <x v="7"/>
    <x v="3"/>
    <s v="Firangi Bake"/>
    <n v="12.885643"/>
    <n v="77.602119999999999"/>
  </r>
  <r>
    <n v="173934793528823"/>
    <b v="1"/>
    <s v="SWIGGYIT"/>
    <s v="[{&quot;id&quot;:&quot;28bf3ebb-4a69-4a92-88a4-f491a5f86e17&quot;,&quot;super_type&quot;:&quot;SUPERTYPE_UNSPECIFIED&quot;,&quot;total_offer_discount&quot;:23.9,&quot;discount_share&quot;:{&quot;swiggy_discount&quot;:0,&quot;store_discount&quot;:23.9,&quot;alliance_discount&quot;:0},&quot;discount_type&quot;:&quot;PERCENTAGE&quot;,&quot;description&quot;:&quot;10% off&quot;,&quot;fixed_charges&quot;:{&quot;gp&quot;:{&quot;id&quot;:&quot;&quot;,&quot;final_price&quot;:0}}}]"/>
    <x v="16"/>
    <s v="2024-05-06 08:43:38"/>
    <n v="21191609"/>
    <x v="0"/>
    <s v="[Record]"/>
    <n v="630473"/>
    <x v="3"/>
    <s v="652,13th cross,29th main road BTM 2nd stage,560078, Bangalore Karnataka"/>
    <s v="Health Bar"/>
    <s v="Bangalore"/>
    <n v="2470"/>
    <x v="14"/>
    <n v="242"/>
    <n v="242"/>
    <n v="239"/>
    <n v="43"/>
    <n v="0"/>
    <s v="12.907799,77.613487"/>
    <n v="2.5"/>
    <s v="SWIGGYIT"/>
    <s v="UPICollect"/>
    <s v="BTM 2nd Stage"/>
    <x v="0"/>
    <n v="0"/>
    <x v="7"/>
    <x v="2"/>
    <s v="Rasayan"/>
    <n v="12.907799000000001"/>
    <n v="77.613487000000006"/>
  </r>
  <r>
    <n v="173886476249693"/>
    <b v="1"/>
    <s v="SWIGGYIT"/>
    <s v="[{&quot;id&quot;:&quot;28bf3ebb-4a69-4a92-88a4-f491a5f86e17&quot;,&quot;super_type&quot;:&quot;SUPERTYPE_UNSPECIFIED&quot;,&quot;total_offer_discount&quot;:40,&quot;discount_share&quot;:{&quot;swiggy_discount&quot;:0,&quot;store_discount&quot;:40,&quot;alliance_discount&quot;:0},&quot;discount_type&quot;:&quot;PERCENTAGE&quot;,&quot;description&quot;:&quot;10% off&quot;,&quot;fixed_charges&quot;:{&quot;gp&quot;:{&quot;id&quot;:&quot;&quot;,&quot;final_price&quot;:0}}}]"/>
    <x v="17"/>
    <s v="2024-05-05 19:18:22"/>
    <n v="21191609"/>
    <x v="0"/>
    <s v="[Record]"/>
    <n v="630473"/>
    <x v="3"/>
    <s v="652,13th cross,29th main road BTM 2nd stage,560078, Bangalore Karnataka"/>
    <s v="Health Bar"/>
    <s v="Bangalore"/>
    <n v="1594"/>
    <x v="15"/>
    <n v="487"/>
    <n v="487"/>
    <n v="478"/>
    <n v="36"/>
    <n v="0"/>
    <s v="12.907799,77.613487"/>
    <n v="2.5"/>
    <s v="SWIGGYIT"/>
    <s v="UPICollect"/>
    <s v="BTM 2nd Stage"/>
    <x v="1"/>
    <n v="0"/>
    <x v="8"/>
    <x v="2"/>
    <s v="Rasayan"/>
    <n v="12.907799000000001"/>
    <n v="77.613487000000006"/>
  </r>
  <r>
    <n v="173848012476255"/>
    <b v="1"/>
    <s v="JUMBO"/>
    <s v="[{&quot;id&quot;:&quot;7b5f26f9-18b8-4c51-aed1-b1e142eba2ae&quot;,&quot;super_type&quot;:&quot;SUPERTYPE_UNSPECIFIED&quot;,&quot;total_offer_discount&quot;:149.4,&quot;discount_share&quot;:{&quot;swiggy_discount&quot;:0,&quot;store_discount&quot;:149.4,&quot;alliance_discount&quot;:0},&quot;discount_type&quot;:&quot;PERCENTAGE&quot;,&quot;description&quot;:&quot;30% off&quot;,&quot;fixed_charges&quot;:{&quot;gp&quot;:{&quot;id&quot;:&quot;&quot;,&quot;final_price&quot;:0}}}]"/>
    <x v="18"/>
    <s v="2024-05-05 08:37:10"/>
    <n v="21191609"/>
    <x v="0"/>
    <s v="[Record]"/>
    <n v="630473"/>
    <x v="3"/>
    <s v="652,13th cross,29th main road BTM 2nd stage,560078, Bangalore Karnataka"/>
    <s v="Health Bar"/>
    <s v="Bangalore"/>
    <n v="2999"/>
    <x v="16"/>
    <n v="392"/>
    <n v="392"/>
    <n v="498"/>
    <n v="43"/>
    <n v="0"/>
    <s v="12.907799,77.613487"/>
    <n v="2.5"/>
    <s v="JUMBO"/>
    <s v="UPICollect"/>
    <s v="BTM 2nd Stage"/>
    <x v="0"/>
    <n v="0"/>
    <x v="8"/>
    <x v="2"/>
    <s v="Rasayan"/>
    <n v="12.907799000000001"/>
    <n v="77.613487000000006"/>
  </r>
  <r>
    <n v="173787961265182"/>
    <b v="1"/>
    <s v="TRYNEW"/>
    <s v="[{&quot;id&quot;:&quot;903b3cd1-104b-4bdd-94d3-96daaea1a80b&quot;,&quot;super_type&quot;:&quot;SUPERTYPE_UNSPECIFIED&quot;,&quot;total_offer_discount&quot;:44.99,&quot;discount_share&quot;:{&quot;swiggy_discount&quot;:0,&quot;store_discount&quot;:44.99,&quot;alliance_discount&quot;:0},&quot;discount_type&quot;:&quot;PERCENTAGE&quot;,&quot;description&quot;:&quot;15% off&quot;,&quot;fixed_charges&quot;:{&quot;gp&quot;:{&quot;id&quot;:&quot;&quot;,&quot;final_price&quot;:0}}}]"/>
    <x v="19"/>
    <s v="2024-05-04 15:56:19"/>
    <n v="21191609"/>
    <x v="0"/>
    <s v="[Record]"/>
    <n v="534276"/>
    <x v="6"/>
    <s v="16,2ND FLOOR GOWRY'S BUILDING,ABOVE DOMINO'S,SY NO 13 OF AREKERE VILLAGE,BANNERGHATTA,BANGLAORE,jayanagar,B.B.M.PM south, karnataka - 560076"/>
    <s v="Mico Layout"/>
    <s v="Bangalore"/>
    <n v="2684"/>
    <x v="17"/>
    <n v="680"/>
    <n v="680"/>
    <n v="660"/>
    <n v="33"/>
    <n v="0"/>
    <s v="12.89009167,77.5976944"/>
    <n v="2.7"/>
    <s v="TRYNEW"/>
    <s v="UPICollect"/>
    <s v="Arekere"/>
    <x v="1"/>
    <n v="0"/>
    <x v="9"/>
    <x v="3"/>
    <s v="Naalnaad Mane"/>
    <n v="12.89009167"/>
    <n v="77.597694399999995"/>
  </r>
  <r>
    <n v="173627120783219"/>
    <b v="1"/>
    <s v="MISSEDYOU"/>
    <s v="[{&quot;id&quot;:&quot;bcdcaa8c-6d73-46c7-af56-3b6dc93e207a&quot;,&quot;super_type&quot;:&quot;SUPERTYPE_UNSPECIFIED&quot;,&quot;total_offer_discount&quot;:60,&quot;discount_share&quot;:{&quot;swiggy_discount&quot;:12,&quot;store_discount&quot;:48,&quot;alliance_discount&quot;:0},&quot;discount_type&quot;:&quot;PERCENTAGE&quot;,&quot;description&quot;:&quot;30% off&quot;,&quot;fixed_charges&quot;:{&quot;gp&quot;:{&quot;id&quot;:&quot;&quot;,&quot;final_price&quot;:0}}}]"/>
    <x v="20"/>
    <s v="2024-05-02 19:15:26"/>
    <n v="21191609"/>
    <x v="0"/>
    <s v="[Record]"/>
    <n v="35953"/>
    <x v="9"/>
    <s v="No. 135/14, 100ft Ring Road, 15th Cross, J.P.Nagar, 3rd Phase, Bengaluru.560076"/>
    <s v="3rd Phase"/>
    <s v="Bangalore"/>
    <n v="1654"/>
    <x v="18"/>
    <n v="214"/>
    <n v="214"/>
    <n v="239"/>
    <n v="54"/>
    <n v="0"/>
    <s v="12.906291,77.596256"/>
    <n v="1.6"/>
    <s v="MISSEDYOU"/>
    <s v="Cash"/>
    <s v="JP Nagar"/>
    <x v="1"/>
    <n v="2"/>
    <x v="10"/>
    <x v="0"/>
    <s v="Homely"/>
    <n v="12.906291"/>
    <n v="77.596255999999997"/>
  </r>
  <r>
    <n v="173528899495632"/>
    <b v="1"/>
    <s v="TRYNEW"/>
    <s v="[{&quot;id&quot;:&quot;6efa58fe-50e0-4c94-aadd-f2cf8ce25c67&quot;,&quot;super_type&quot;:&quot;SUPERTYPE_UNSPECIFIED&quot;,&quot;total_offer_discount&quot;:99.99000000000001,&quot;discount_share&quot;:{&quot;swiggy_discount&quot;:47.99,&quot;store_discount&quot;:52,&quot;alliance_discount&quot;:0},&quot;discount_type&quot;:&quot;PERCENTAGE&quot;,&quot;description&quot;:&quot;50% off&quot;,&quot;fixed_charges&quot;:{&quot;gp&quot;:{&quot;id&quot;:&quot;&quot;,&quot;final_price&quot;:0}}}]"/>
    <x v="21"/>
    <s v="2024-05-01 15:58:57"/>
    <n v="21191609"/>
    <x v="0"/>
    <s v="[Record]"/>
    <n v="434304"/>
    <x v="0"/>
    <s v="No.690/A, 14th Main, 100ft Road, JP Nagar 2nd Phase, Bangalore 560078."/>
    <s v="JP Nagar"/>
    <s v="Bangalore"/>
    <n v="2161"/>
    <x v="19"/>
    <n v="696"/>
    <n v="696"/>
    <n v="680"/>
    <n v="36"/>
    <n v="0"/>
    <s v="12.90649867,77.59165435"/>
    <n v="2.1"/>
    <s v="TRYNEW"/>
    <s v="UPICollect"/>
    <s v="JP Nagar"/>
    <x v="0"/>
    <n v="0"/>
    <x v="11"/>
    <x v="0"/>
    <s v="Paris Panini"/>
    <n v="12.90649867"/>
    <n v="77.591654349999999"/>
  </r>
  <r>
    <n v="173508364352211"/>
    <b v="1"/>
    <s v="JUMBO"/>
    <s v="[{&quot;id&quot;:&quot;7b5f26f9-18b8-4c51-aed1-b1e142eba2ae&quot;,&quot;super_type&quot;:&quot;SUPERTYPE_UNSPECIFIED&quot;,&quot;total_offer_discount&quot;:148.8,&quot;discount_share&quot;:{&quot;swiggy_discount&quot;:0,&quot;store_discount&quot;:148.8,&quot;alliance_discount&quot;:0},&quot;discount_type&quot;:&quot;PERCENTAGE&quot;,&quot;description&quot;:&quot;30% off&quot;,&quot;fixed_charges&quot;:{&quot;gp&quot;:{&quot;id&quot;:&quot;&quot;,&quot;final_price&quot;:0}}}]"/>
    <x v="22"/>
    <s v="2024-05-01 10:16:24"/>
    <n v="21191609"/>
    <x v="0"/>
    <s v="[Record]"/>
    <n v="630473"/>
    <x v="3"/>
    <s v="652,13th cross,29th main road BTM 2nd stage,560078, Bangalore Karnataka"/>
    <s v="Health Bar"/>
    <s v="Bangalore"/>
    <n v="2775"/>
    <x v="20"/>
    <n v="399"/>
    <n v="399"/>
    <n v="496"/>
    <n v="43"/>
    <n v="0"/>
    <s v="12.907799,77.613487"/>
    <n v="2.5"/>
    <s v="JUMBO"/>
    <s v="UPICollect"/>
    <s v="BTM 2nd Stage"/>
    <x v="0"/>
    <n v="0"/>
    <x v="11"/>
    <x v="2"/>
    <s v="Rasayan"/>
    <n v="12.907799000000001"/>
    <n v="77.613487000000006"/>
  </r>
  <r>
    <n v="173162395766364"/>
    <b v="1"/>
    <s v="JUMBO"/>
    <s v="[{&quot;id&quot;:&quot;7b5f26f9-18b8-4c51-aed1-b1e142eba2ae&quot;,&quot;super_type&quot;:&quot;SUPERTYPE_UNSPECIFIED&quot;,&quot;total_offer_discount&quot;:149.99,&quot;discount_share&quot;:{&quot;swiggy_discount&quot;:0,&quot;store_discount&quot;:149.99,&quot;alliance_discount&quot;:0},&quot;discount_type&quot;:&quot;PERCENTAGE&quot;,&quot;description&quot;:&quot;30% off&quot;,&quot;fixed_charges&quot;:{&quot;gp&quot;:{&quot;id&quot;:&quot;&quot;,&quot;final_price&quot;:0}}}]"/>
    <x v="23"/>
    <s v="2024-04-27 10:10:09"/>
    <n v="21191609"/>
    <x v="0"/>
    <s v="[Record]"/>
    <n v="630473"/>
    <x v="3"/>
    <s v="652,13th cross,29th main road BTM 2nd stage,560078, Bangalore Karnataka"/>
    <s v="Health Bar"/>
    <s v="Bangalore"/>
    <n v="2197"/>
    <x v="21"/>
    <n v="489"/>
    <n v="489"/>
    <n v="580"/>
    <n v="43"/>
    <n v="0"/>
    <s v="12.907799,77.613487"/>
    <n v="2.5"/>
    <s v="JUMBO"/>
    <s v="UPICollect"/>
    <s v="BTM 2nd Stage"/>
    <x v="0"/>
    <n v="0"/>
    <x v="12"/>
    <x v="2"/>
    <s v="Rasayan"/>
    <n v="12.907799000000001"/>
    <n v="77.613487000000006"/>
  </r>
  <r>
    <n v="173162271836174"/>
    <b v="0"/>
    <s v=""/>
    <s v=""/>
    <x v="24"/>
    <s v="2024-04-27 10:08:09"/>
    <n v="21191609"/>
    <x v="1"/>
    <m/>
    <n v="630473"/>
    <x v="3"/>
    <s v="652,13th cross,29th main road BTM 2nd stage,560078, Bangalore Karnataka"/>
    <s v="Health Bar"/>
    <s v="Bangalore"/>
    <n v="0"/>
    <x v="22"/>
    <n v="646"/>
    <n v="646"/>
    <n v="580"/>
    <n v="43"/>
    <n v="0"/>
    <s v="12.907799,77.613487"/>
    <n v="1.9"/>
    <s v=""/>
    <s v="UPICollect"/>
    <s v="BTM 2nd Stage"/>
    <x v="0"/>
    <n v="0"/>
    <x v="12"/>
    <x v="2"/>
    <s v="Rasayan"/>
    <n v="12.907799000000001"/>
    <n v="77.613487000000006"/>
  </r>
  <r>
    <n v="173021459533483"/>
    <b v="1"/>
    <s v="TRYNEW"/>
    <s v="[{&quot;id&quot;:&quot;f90d8119-321f-4158-a454-d7576a8e0a65&quot;,&quot;super_type&quot;:&quot;SUPERTYPE_UNSPECIFIED&quot;,&quot;total_offer_discount&quot;:75,&quot;discount_share&quot;:{&quot;swiggy_discount&quot;:18.75,&quot;store_discount&quot;:56.25,&quot;alliance_discount&quot;:0},&quot;discount_type&quot;:&quot;PERCENTAGE&quot;,&quot;description&quot;:&quot;30% off&quot;,&quot;fixed_charges&quot;:{&quot;gp&quot;:{&quot;id&quot;:&quot;&quot;,&quot;final_price&quot;:0}}}]"/>
    <x v="25"/>
    <s v="2024-04-25 19:01:33"/>
    <n v="21191609"/>
    <x v="0"/>
    <s v="[Record]"/>
    <n v="260968"/>
    <x v="10"/>
    <s v="SAI DURGA ENCLAVE, KATHA NO 1099, AND NO 833/1, GROUND FLOOR, BELLENDUR VILLAGE, VARTHUR HOBLI, BANGALORE, Mahadevapura , B.B.M.P East, Karnataka-560037"/>
    <s v="Sai Durga Enclave"/>
    <s v="Bangalore"/>
    <n v="1950"/>
    <x v="23"/>
    <n v="208"/>
    <n v="208"/>
    <n v="260"/>
    <n v="40"/>
    <n v="0"/>
    <s v="12.92314229,77.6713331"/>
    <n v="3.3"/>
    <s v="TRYNEW"/>
    <s v="UPICollect"/>
    <s v="Bellandur"/>
    <x v="1"/>
    <n v="0"/>
    <x v="13"/>
    <x v="6"/>
    <s v="Chowman"/>
    <n v="12.923142289999999"/>
    <n v="77.671333099999998"/>
  </r>
  <r>
    <n v="172937451496694"/>
    <b v="1"/>
    <s v="MISSEDYOU"/>
    <s v="[{&quot;id&quot;:&quot;12337c67-3996-4380-afdd-b7cf7e3de7a3&quot;,&quot;super_type&quot;:&quot;SUPERTYPE_UNSPECIFIED&quot;,&quot;total_offer_discount&quot;:100,&quot;discount_share&quot;:{&quot;swiggy_discount&quot;:48,&quot;store_discount&quot;:52,&quot;alliance_discount&quot;:0},&quot;discount_type&quot;:&quot;PERCENTAGE&quot;,&quot;description&quot;:&quot;50% off&quot;,&quot;fixed_charges&quot;:{&quot;gp&quot;:{&quot;id&quot;:&quot;&quot;,&quot;final_price&quot;:0}}}]"/>
    <x v="26"/>
    <s v="2024-04-24 19:41:11"/>
    <n v="21191609"/>
    <x v="0"/>
    <s v="[Record]"/>
    <n v="742267"/>
    <x v="0"/>
    <s v="Counter No. 23, 24 &amp; 33, No. 53/2,  Doddakannelli Village, Varthur Hobli,  Bangalore, Mahadevapura , B.B.M.P East,  Karnataka-560038"/>
    <s v="Sarjapur Road"/>
    <s v="Bangalore"/>
    <n v="2384"/>
    <x v="24"/>
    <n v="344"/>
    <n v="344"/>
    <n v="395"/>
    <n v="61"/>
    <n v="0"/>
    <s v="12.90906249,77.68766132"/>
    <n v="5.4"/>
    <s v="MISSEDYOU"/>
    <s v="UPICollect"/>
    <s v="Bellandur Sarjapur"/>
    <x v="1"/>
    <n v="0"/>
    <x v="14"/>
    <x v="6"/>
    <s v="Paris Panini"/>
    <n v="12.90906249"/>
    <n v="77.687661320000004"/>
  </r>
  <r>
    <n v="172865582370674"/>
    <b v="1"/>
    <s v="SWIGGYIT"/>
    <s v="[{&quot;id&quot;:&quot;a95119de-61b8-489b-ad8b-1cf7a5d62a5e&quot;,&quot;super_type&quot;:&quot;SUPERTYPE_UNSPECIFIED&quot;,&quot;total_offer_discount&quot;:50,&quot;discount_share&quot;:{&quot;swiggy_discount&quot;:15,&quot;store_discount&quot;:35,&quot;alliance_discount&quot;:0},&quot;discount_type&quot;:&quot;PERCENTAGE&quot;,&quot;description&quot;:&quot;20% off&quot;,&quot;fixed_charges&quot;:{&quot;gp&quot;:{&quot;id&quot;:&quot;&quot;,&quot;final_price&quot;:0}}}]"/>
    <x v="27"/>
    <s v="2024-04-23 23:43:23"/>
    <n v="21191609"/>
    <x v="0"/>
    <s v="[Record]"/>
    <n v="29349"/>
    <x v="11"/>
    <s v="88, Celler Floor, 17th Cross, 14th main, Sector - 4, HSR, Bangalore"/>
    <s v="HSR Layout"/>
    <s v="Bangalore"/>
    <n v="1985"/>
    <x v="25"/>
    <n v="301"/>
    <n v="301"/>
    <n v="289"/>
    <n v="50"/>
    <n v="0"/>
    <s v="12.91233118,77.63839138"/>
    <n v="1.7"/>
    <s v="SWIGGYIT"/>
    <s v="UPICollect"/>
    <s v="HSR Layout"/>
    <x v="1"/>
    <n v="0"/>
    <x v="15"/>
    <x v="4"/>
    <s v="Frozen Bottle"/>
    <n v="12.912331180000001"/>
    <n v="77.638391380000002"/>
  </r>
  <r>
    <n v="172849812190412"/>
    <b v="1"/>
    <s v="TRYNEW"/>
    <s v="[{&quot;id&quot;:&quot;768dad50-eef1-40d7-bfd4-5327ee71bb5a&quot;,&quot;super_type&quot;:&quot;SUPERTYPE_UNSPECIFIED&quot;,&quot;total_offer_discount&quot;:60,&quot;discount_share&quot;:{&quot;swiggy_discount&quot;:0,&quot;store_discount&quot;:60,&quot;alliance_discount&quot;:0},&quot;discount_type&quot;:&quot;PERCENTAGE&quot;,&quot;description&quot;:&quot;30% off&quot;,&quot;fixed_charges&quot;:{&quot;gp&quot;:{&quot;id&quot;:&quot;&quot;,&quot;final_price&quot;:0}}}]"/>
    <x v="28"/>
    <s v="2024-04-23 19:20:29"/>
    <n v="21191609"/>
    <x v="0"/>
    <s v="[Record]"/>
    <n v="34366"/>
    <x v="4"/>
    <s v="SHOP NO 2318,HSR LAYOUT SECTOR ONE,NEAR NIFT COLLEGE,BANGALORE"/>
    <s v="Near NIFT College, Sector 1"/>
    <s v="Bangalore"/>
    <n v="1375"/>
    <x v="26"/>
    <n v="310"/>
    <n v="310"/>
    <n v="325"/>
    <n v="35"/>
    <n v="0"/>
    <s v="12.912101,77.65163400000006"/>
    <n v="0.8"/>
    <s v="TRYNEW"/>
    <s v="UPICollect"/>
    <s v="HSR Layout"/>
    <x v="0"/>
    <n v="0"/>
    <x v="15"/>
    <x v="4"/>
    <s v="Firangi Bake"/>
    <n v="12.912101"/>
    <n v="77.651634000000001"/>
  </r>
  <r>
    <n v="172765721740638"/>
    <b v="1"/>
    <s v="MDM150"/>
    <s v="[{&quot;id&quot;:&quot;24ecd13d-e27f-4858-9c2a-bdc2b708cce4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29"/>
    <s v="2024-04-22 19:59:12"/>
    <n v="21191609"/>
    <x v="0"/>
    <s v="[Record]"/>
    <n v="17036"/>
    <x v="12"/>
    <s v="No.17, Ground Floor, 18th Cross Road, 3rd Sector, HSR Layout, Bangalore."/>
    <s v="HSR Layout"/>
    <s v="Bangalore"/>
    <n v="1703"/>
    <x v="27"/>
    <n v="724"/>
    <n v="724"/>
    <n v="797.57"/>
    <n v="35"/>
    <n v="0"/>
    <s v="12.91181131,77.64374963"/>
    <n v="1.6"/>
    <s v="MDM150"/>
    <s v="UPICollect"/>
    <s v="HSR Layout"/>
    <x v="0"/>
    <n v="0"/>
    <x v="16"/>
    <x v="4"/>
    <s v="Leon's"/>
    <n v="12.911811309999999"/>
    <n v="77.643749630000002"/>
  </r>
  <r>
    <n v="172415621290914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0"/>
    <s v="2024-04-18 18:44:05"/>
    <n v="21191609"/>
    <x v="0"/>
    <s v="[Record]"/>
    <n v="17036"/>
    <x v="12"/>
    <s v="No.17, Ground Floor, 18th Cross Road, 3rd Sector, HSR Layout, Bangalore."/>
    <s v="HSR Layout"/>
    <s v="Bangalore"/>
    <n v="1726"/>
    <x v="28"/>
    <n v="252"/>
    <n v="252"/>
    <n v="349"/>
    <n v="31"/>
    <n v="0"/>
    <s v="12.91181131,77.64374963"/>
    <n v="0.9"/>
    <s v="MDM150"/>
    <s v="UPICollect"/>
    <s v="HSR Layout"/>
    <x v="1"/>
    <n v="0"/>
    <x v="17"/>
    <x v="4"/>
    <s v="Leon's"/>
    <n v="12.911811309999999"/>
    <n v="77.643749630000002"/>
  </r>
  <r>
    <n v="171120236353593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1"/>
    <s v="2024-04-03 18:54:20"/>
    <n v="21191609"/>
    <x v="0"/>
    <s v="[Record]"/>
    <n v="17036"/>
    <x v="12"/>
    <s v="No.17, Ground Floor, 18th Cross Road, 3rd Sector, HSR Layout, Bangalore."/>
    <s v="HSR Layout"/>
    <s v="Bangalore"/>
    <n v="836"/>
    <x v="28"/>
    <n v="252"/>
    <n v="252"/>
    <n v="349"/>
    <n v="29"/>
    <n v="0"/>
    <s v="12.91181131,77.64374963"/>
    <n v="0.2"/>
    <s v="MDM150"/>
    <s v="UPICollect"/>
    <s v="HSR Layout"/>
    <x v="1"/>
    <n v="0"/>
    <x v="18"/>
    <x v="4"/>
    <s v="Leon's"/>
    <n v="12.911811309999999"/>
    <n v="77.643749630000002"/>
  </r>
  <r>
    <n v="170949181342493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2"/>
    <s v="2024-04-01 19:23:06"/>
    <n v="21191609"/>
    <x v="0"/>
    <s v="[Record]"/>
    <n v="17036"/>
    <x v="12"/>
    <s v="No.17, Ground Floor, 18th Cross Road, 3rd Sector, HSR Layout, Bangalore."/>
    <s v="HSR Layout"/>
    <s v="Bangalore"/>
    <n v="2224"/>
    <x v="28"/>
    <n v="252"/>
    <n v="252"/>
    <n v="349"/>
    <n v="34"/>
    <n v="0"/>
    <s v="12.91181131,77.64374963"/>
    <n v="1.6"/>
    <s v="MDM150"/>
    <s v="Cash"/>
    <s v="HSR Layout"/>
    <x v="0"/>
    <n v="0"/>
    <x v="19"/>
    <x v="4"/>
    <s v="Leon's"/>
    <n v="12.911811309999999"/>
    <n v="77.643749630000002"/>
  </r>
  <r>
    <n v="170849767634192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3"/>
    <s v="2024-03-31 15:46:25"/>
    <n v="21191609"/>
    <x v="0"/>
    <s v="[Record]"/>
    <n v="17036"/>
    <x v="12"/>
    <s v="No.17, Ground Floor, 18th Cross Road, 3rd Sector, HSR Layout, Bangalore."/>
    <s v="HSR Layout"/>
    <s v="Bangalore"/>
    <n v="854"/>
    <x v="28"/>
    <n v="252"/>
    <n v="252"/>
    <n v="349"/>
    <n v="30"/>
    <n v="0"/>
    <s v="12.91181131,77.64374963"/>
    <n v="1.6"/>
    <s v="MDM150"/>
    <s v="UPICollect"/>
    <s v="HSR Layout"/>
    <x v="1"/>
    <n v="0"/>
    <x v="20"/>
    <x v="4"/>
    <s v="Leon's"/>
    <n v="12.911811309999999"/>
    <n v="77.643749630000002"/>
  </r>
  <r>
    <n v="170326417874188"/>
    <b v="1"/>
    <s v="SWIGGYIT"/>
    <s v="[{&quot;id&quot;:&quot;16ef3f62-96d1-48fa-977b-3851da22b190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4"/>
    <s v="2024-03-25 14:23:54"/>
    <n v="21191609"/>
    <x v="0"/>
    <s v="[Record]"/>
    <n v="2675"/>
    <x v="13"/>
    <s v="36, 3rd Store, 7th Sector, 14th main, HSR Layout"/>
    <s v="7th Sector"/>
    <s v="Bangalore"/>
    <n v="779"/>
    <x v="28"/>
    <n v="252"/>
    <n v="252"/>
    <n v="300"/>
    <n v="32"/>
    <n v="0"/>
    <s v="12.9118135,77.637958"/>
    <n v="0.6"/>
    <s v="SWIGGYIT"/>
    <s v="UPICollect"/>
    <s v="HSR Layout"/>
    <x v="1"/>
    <n v="0"/>
    <x v="21"/>
    <x v="4"/>
    <s v="Subway"/>
    <n v="12.911813499999999"/>
    <n v="77.637957999999998"/>
  </r>
  <r>
    <n v="169997934599848"/>
    <b v="1"/>
    <s v="FLATDEAL"/>
    <s v="[{&quot;id&quot;:&quot;20f94987-8858-4c7d-bf7b-c2ff8a327fa8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100 off&quot;,&quot;fixed_charges&quot;:{&quot;gp&quot;:{&quot;id&quot;:&quot;&quot;,&quot;final_price&quot;:0}}}]"/>
    <x v="35"/>
    <s v="2024-03-21 19:09:08"/>
    <n v="21191609"/>
    <x v="0"/>
    <s v="[Record]"/>
    <n v="2675"/>
    <x v="13"/>
    <s v="36, 3rd Store, 7th Sector, 14th main, HSR Layout"/>
    <s v="7th Sector"/>
    <s v="Bangalore"/>
    <n v="2901"/>
    <x v="29"/>
    <n v="596"/>
    <n v="596"/>
    <n v="649"/>
    <n v="34"/>
    <n v="0"/>
    <s v="12.9118135,77.637958"/>
    <n v="1.9"/>
    <s v="FLATDEAL"/>
    <s v="UPICollect"/>
    <s v="HSR Layout"/>
    <x v="0"/>
    <n v="0"/>
    <x v="22"/>
    <x v="4"/>
    <s v="Subway"/>
    <n v="12.911813499999999"/>
    <n v="77.637957999999998"/>
  </r>
  <r>
    <n v="169054716176265"/>
    <b v="1"/>
    <s v="SWIGGYIT"/>
    <s v="[{&quot;id&quot;:&quot;e7373c56-9ba3-49f4-be3d-f75ecf92675e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6"/>
    <s v="2024-03-10 21:09:03"/>
    <n v="21191609"/>
    <x v="0"/>
    <s v="[Record]"/>
    <n v="2675"/>
    <x v="13"/>
    <s v="36, 3rd Store, 7th Sector, 14th main, HSR Layout"/>
    <s v="7th Sector"/>
    <s v="Bangalore"/>
    <n v="4130"/>
    <x v="30"/>
    <n v="251"/>
    <n v="251"/>
    <n v="300"/>
    <n v="57"/>
    <n v="0"/>
    <s v="12.9118135,77.637958"/>
    <n v="1.9"/>
    <s v="SWIGGYIT"/>
    <s v="UPICollect"/>
    <s v="HSR Layout"/>
    <x v="0"/>
    <n v="0"/>
    <x v="23"/>
    <x v="4"/>
    <s v="Subway"/>
    <n v="12.911813499999999"/>
    <n v="77.637957999999998"/>
  </r>
  <r>
    <n v="168959031219038"/>
    <b v="1"/>
    <s v="SWIGGYIT"/>
    <s v="[{&quot;id&quot;:&quot;e7373c56-9ba3-49f4-be3d-f75ecf92675e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7"/>
    <s v="2024-03-09 18:34:15"/>
    <n v="21191609"/>
    <x v="0"/>
    <s v="[Record]"/>
    <n v="2675"/>
    <x v="13"/>
    <s v="36, 3rd Store, 7th Sector, 14th main, HSR Layout"/>
    <s v="7th Sector"/>
    <s v="Bangalore"/>
    <n v="864"/>
    <x v="31"/>
    <n v="302"/>
    <n v="302"/>
    <n v="349"/>
    <n v="32"/>
    <n v="0"/>
    <s v="12.9118135,77.637958"/>
    <n v="1.9"/>
    <s v="SWIGGYIT"/>
    <s v="UPICollect"/>
    <s v="HSR Layout"/>
    <x v="1"/>
    <n v="0"/>
    <x v="24"/>
    <x v="4"/>
    <s v="Subway"/>
    <n v="12.911813499999999"/>
    <n v="77.637957999999998"/>
  </r>
  <r>
    <n v="168877172918547"/>
    <b v="0"/>
    <s v=""/>
    <s v=""/>
    <x v="38"/>
    <s v="2024-03-08 19:49:59"/>
    <n v="21191609"/>
    <x v="0"/>
    <s v="[Record]"/>
    <n v="464830"/>
    <x v="14"/>
    <s v="No 526/A,Ganesh Complex,Ground floor,18th Main Road,HSR 3rd sector,Bangalore:560102"/>
    <s v="3rd Sector"/>
    <s v="Bangalore"/>
    <n v="2660"/>
    <x v="32"/>
    <n v="154"/>
    <n v="154"/>
    <n v="249"/>
    <n v="36"/>
    <n v="0"/>
    <s v="12.9054065,77.64410799999996"/>
    <n v="1.8"/>
    <s v=""/>
    <s v="UPICollect"/>
    <s v="HSR Layout"/>
    <x v="0"/>
    <n v="0"/>
    <x v="25"/>
    <x v="4"/>
    <s v="Bowl Soul"/>
    <n v="12.9054065"/>
    <n v="77.644107999999903"/>
  </r>
  <r>
    <n v="168622214022977"/>
    <b v="1"/>
    <s v="SWIGGYIT"/>
    <s v="[{&quot;id&quot;:&quot;68fb12f6-cd47-465f-8695-896e48e6c41d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9"/>
    <s v="2024-03-05 21:00:40"/>
    <n v="21191609"/>
    <x v="0"/>
    <s v="[Record]"/>
    <n v="2675"/>
    <x v="13"/>
    <s v="36, 3rd Store, 7th Sector, 14th main, HSR Layout"/>
    <s v="7th Sector"/>
    <s v="Bangalore"/>
    <n v="2107"/>
    <x v="31"/>
    <n v="302"/>
    <n v="302"/>
    <n v="349"/>
    <n v="36"/>
    <n v="0"/>
    <s v="12.9118135,77.637958"/>
    <n v="1.7"/>
    <s v="SWIGGYIT"/>
    <s v="UPICollect"/>
    <s v="HSR Layout"/>
    <x v="1"/>
    <n v="0"/>
    <x v="26"/>
    <x v="4"/>
    <s v="Subway"/>
    <n v="12.911813499999999"/>
    <n v="77.637957999999998"/>
  </r>
  <r>
    <n v="168513609258675"/>
    <b v="0"/>
    <s v=""/>
    <s v=""/>
    <x v="40"/>
    <s v="2024-03-04 14:50:43"/>
    <n v="21191609"/>
    <x v="0"/>
    <s v="[Record]"/>
    <n v="18973"/>
    <x v="1"/>
    <s v="Koramangala, 7, Mahakavi Vemana Rd, KHB Block Koramangala, Koramangala 4-B Block, Koramangala, Bengaluru, Karnataka 560034"/>
    <s v="Koramangala"/>
    <s v="Bangalore"/>
    <n v="3667"/>
    <x v="33"/>
    <n v="537"/>
    <n v="537"/>
    <n v="525"/>
    <n v="44"/>
    <n v="0"/>
    <s v="12.93171741,77.6229908"/>
    <n v="4.8"/>
    <s v=""/>
    <s v="UPICollect"/>
    <s v="Koramangala"/>
    <x v="0"/>
    <n v="0"/>
    <x v="27"/>
    <x v="7"/>
    <s v="Nandhana Palace"/>
    <n v="12.931717409999999"/>
    <n v="77.622990799999997"/>
  </r>
  <r>
    <n v="168438354785516"/>
    <b v="0"/>
    <s v=""/>
    <s v=""/>
    <x v="41"/>
    <s v="2024-03-03 17:56:20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1348"/>
    <x v="34"/>
    <n v="466"/>
    <n v="466"/>
    <n v="400"/>
    <n v="39"/>
    <n v="0"/>
    <s v="12.90942041,77.63866215"/>
    <n v="2.1"/>
    <s v=""/>
    <s v="UPICollect"/>
    <s v="HSR Layout"/>
    <x v="1"/>
    <n v="0"/>
    <x v="28"/>
    <x v="4"/>
    <s v="Daily Sushi"/>
    <n v="12.909420409999999"/>
    <n v="77.638662150000002"/>
  </r>
  <r>
    <n v="168293863851738"/>
    <b v="0"/>
    <s v=""/>
    <s v=""/>
    <x v="42"/>
    <s v="2024-03-02 01:49:00"/>
    <n v="21191609"/>
    <x v="0"/>
    <s v="[Record]"/>
    <n v="621134"/>
    <x v="15"/>
    <s v="Bharadwaj Ventures No.2007,Next to Park Villa, Behind Amul Parlour, Near Venkateshwara College, Vidya Nagar, Bengaluru North 562157, Bangalore North, Bangalore Urban, Karnataka-562157"/>
    <s v="Vidya Nagar"/>
    <s v="Bangalore"/>
    <n v="1954"/>
    <x v="35"/>
    <n v="568"/>
    <n v="568"/>
    <n v="518"/>
    <n v="67"/>
    <n v="0"/>
    <s v="13.16024,77.6351"/>
    <n v="5.0999999999999996"/>
    <s v=""/>
    <s v="UPICollect"/>
    <s v="Yelahanka"/>
    <x v="1"/>
    <n v="0"/>
    <x v="29"/>
    <x v="8"/>
    <s v="Sundae Everyday Ice Creams"/>
    <n v="13.16024"/>
    <n v="77.635099999999994"/>
  </r>
  <r>
    <n v="168028113662672"/>
    <b v="1"/>
    <s v="SWIGGYIT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x v="43"/>
    <s v="2024-02-27 23:58:54"/>
    <n v="21191609"/>
    <x v="0"/>
    <s v="[Record]"/>
    <n v="647582"/>
    <x v="16"/>
    <s v="130, 17th H Main Rd, KHB Colony, M.I.G, 5th Block, Koramangala, Bengaluru, Karnataka 560095, India"/>
    <s v="Koramangala"/>
    <s v="Bangalore"/>
    <n v="1074"/>
    <x v="36"/>
    <n v="212"/>
    <n v="212"/>
    <n v="209"/>
    <n v="66"/>
    <n v="0"/>
    <s v="12.934678,77.616812"/>
    <n v="5.9"/>
    <s v="SWIGGYIT"/>
    <s v="UPICollect"/>
    <s v="Koramangala"/>
    <x v="1"/>
    <n v="0"/>
    <x v="30"/>
    <x v="7"/>
    <s v="Smoky Docky"/>
    <n v="12.934678"/>
    <n v="77.616811999999996"/>
  </r>
  <r>
    <n v="168013539245633"/>
    <b v="1"/>
    <s v="SWIGGYIT"/>
    <s v="[{&quot;id&quot;:&quot;5ba597b1-287c-4335-9317-451a632f4519&quot;,&quot;super_type&quot;:&quot;SUPERTYPE_UNSPECIFIED&quot;,&quot;total_offer_discount&quot;:75,&quot;discount_share&quot;:{&quot;swiggy_discount&quot;:18.75,&quot;store_discount&quot;:56.25,&quot;alliance_discount&quot;:0},&quot;discount_type&quot;:&quot;PERCENTAGE&quot;,&quot;description&quot;:&quot;30% off&quot;,&quot;fixed_charges&quot;:{&quot;gp&quot;:{&quot;id&quot;:&quot;&quot;,&quot;final_price&quot;:0}}}]"/>
    <x v="44"/>
    <s v="2024-02-27 19:56:01"/>
    <n v="21191609"/>
    <x v="0"/>
    <s v="[Record]"/>
    <n v="656392"/>
    <x v="13"/>
    <s v="CNA Arcade, Ground Floor, No. 37, 1st Main, 1st Block, Koramangala, Bangalore-560034"/>
    <s v="1st Block"/>
    <s v="Bangalore"/>
    <n v="1143"/>
    <x v="37"/>
    <n v="307"/>
    <n v="307"/>
    <n v="349"/>
    <n v="43"/>
    <n v="0"/>
    <s v="12.928999,77.635218"/>
    <n v="3.4"/>
    <s v="SWIGGYIT"/>
    <s v="UPICollect"/>
    <s v="Koramangala"/>
    <x v="1"/>
    <n v="0"/>
    <x v="30"/>
    <x v="7"/>
    <s v="Subway"/>
    <n v="12.928998999999999"/>
    <n v="77.635217999999995"/>
  </r>
  <r>
    <n v="167927988529759"/>
    <b v="1"/>
    <s v="SWIGGYIT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x v="45"/>
    <s v="2024-02-26 20:12:01"/>
    <n v="21191609"/>
    <x v="0"/>
    <s v="[Record]"/>
    <n v="647582"/>
    <x v="16"/>
    <s v="130, 17th H Main Rd, KHB Colony, M.I.G, 5th Block, Koramangala, Bengaluru, Karnataka 560095, India"/>
    <s v="Koramangala"/>
    <s v="Bangalore"/>
    <n v="2408"/>
    <x v="36"/>
    <n v="212"/>
    <n v="212"/>
    <n v="209"/>
    <n v="60"/>
    <n v="0"/>
    <s v="12.934678,77.616812"/>
    <n v="5.9"/>
    <s v="SWIGGYIT"/>
    <s v="UPICollect"/>
    <s v="Koramangala"/>
    <x v="0"/>
    <n v="0"/>
    <x v="31"/>
    <x v="7"/>
    <s v="Smoky Docky"/>
    <n v="12.934678"/>
    <n v="77.616811999999996"/>
  </r>
  <r>
    <n v="167230102604894"/>
    <b v="1"/>
    <s v="SWIGGYIT"/>
    <s v="[{&quot;id&quot;:&quot;c43b8888-f483-43af-9935-7d4034582849&quot;,&quot;super_type&quot;:&quot;SUPERTYPE_UNSPECIFIED&quot;,&quot;total_offer_discount&quot;:35.7,&quot;discount_share&quot;:{&quot;swiggy_discount&quot;:0,&quot;store_discount&quot;:35.7,&quot;alliance_discount&quot;:0},&quot;discount_type&quot;:&quot;PERCENTAGE&quot;,&quot;description&quot;:&quot;10% off&quot;,&quot;fixed_charges&quot;:{&quot;gp&quot;:{&quot;id&quot;:&quot;&quot;,&quot;final_price&quot;:0}}}]"/>
    <x v="46"/>
    <s v="2024-02-18 18:18:57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856"/>
    <x v="38"/>
    <n v="341"/>
    <n v="341"/>
    <n v="357"/>
    <n v="77"/>
    <n v="0"/>
    <s v="12.927366,77.692146"/>
    <n v="6.2"/>
    <s v="SWIGGYIT"/>
    <s v="UPICollect"/>
    <s v="Devarabeesanahalli"/>
    <x v="0"/>
    <n v="0"/>
    <x v="32"/>
    <x v="9"/>
    <s v="The Ganache Factory"/>
    <n v="12.927365999999999"/>
    <n v="77.692145999999994"/>
  </r>
  <r>
    <n v="167065261006312"/>
    <b v="0"/>
    <s v=""/>
    <s v=""/>
    <x v="47"/>
    <s v="2024-02-16 20:31:06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1383"/>
    <x v="39"/>
    <n v="650"/>
    <n v="650"/>
    <n v="560"/>
    <n v="43"/>
    <n v="0"/>
    <s v="12.90942041,77.63866215"/>
    <n v="2"/>
    <s v=""/>
    <s v="Cash"/>
    <s v="HSR Layout"/>
    <x v="1"/>
    <n v="0"/>
    <x v="33"/>
    <x v="4"/>
    <s v="Daily Sushi"/>
    <n v="12.909420409999999"/>
    <n v="77.638662150000002"/>
  </r>
  <r>
    <n v="167041647226680"/>
    <b v="1"/>
    <s v="SWIGGYIT"/>
    <s v="[{&quot;id&quot;:&quot;14a3b6c3-fe74-4f29-9b89-a2368550fb25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48"/>
    <s v="2024-02-16 13:57:55"/>
    <n v="21191609"/>
    <x v="0"/>
    <s v="[Record]"/>
    <n v="2675"/>
    <x v="13"/>
    <s v="36, 3rd Store, 7th Sector, 14th main, HSR Layout"/>
    <s v="7th Sector"/>
    <s v="Bangalore"/>
    <n v="1410"/>
    <x v="31"/>
    <n v="302"/>
    <n v="302"/>
    <n v="349"/>
    <n v="31"/>
    <n v="0"/>
    <s v="12.9118135,77.637958"/>
    <n v="1.9"/>
    <s v="SWIGGYIT"/>
    <s v="UPICollect"/>
    <s v="HSR Layout"/>
    <x v="1"/>
    <n v="0"/>
    <x v="33"/>
    <x v="4"/>
    <s v="Subway"/>
    <n v="12.911813499999999"/>
    <n v="77.637957999999998"/>
  </r>
  <r>
    <n v="166952305677312"/>
    <b v="1"/>
    <s v="SWIGGYIT"/>
    <s v="[{&quot;id&quot;:&quot;c43b8888-f483-43af-9935-7d4034582849&quot;,&quot;super_type&quot;:&quot;SUPERTYPE_UNSPECIFIED&quot;,&quot;total_offer_discount&quot;:40,&quot;discount_share&quot;:{&quot;swiggy_discount&quot;:0,&quot;store_discount&quot;:40,&quot;alliance_discount&quot;:0},&quot;discount_type&quot;:&quot;PERCENTAGE&quot;,&quot;description&quot;:&quot;10% off&quot;,&quot;fixed_charges&quot;:{&quot;gp&quot;:{&quot;id&quot;:&quot;&quot;,&quot;final_price&quot;:0}}}]"/>
    <x v="49"/>
    <s v="2024-02-15 13:08:43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633"/>
    <x v="40"/>
    <n v="809"/>
    <n v="809"/>
    <n v="787.5"/>
    <n v="79"/>
    <n v="0"/>
    <s v="12.927366,77.692146"/>
    <n v="7.1"/>
    <s v="SWIGGYIT"/>
    <s v="UPICollect"/>
    <s v="Devarabeesanahalli"/>
    <x v="1"/>
    <n v="0"/>
    <x v="34"/>
    <x v="9"/>
    <s v="The Ganache Factory"/>
    <n v="12.927365999999999"/>
    <n v="77.692145999999994"/>
  </r>
  <r>
    <n v="166803724653459"/>
    <b v="1"/>
    <s v="SWIGGYIT"/>
    <s v="[{&quot;id&quot;:&quot;14a3b6c3-fe74-4f29-9b89-a2368550fb25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50"/>
    <s v="2024-02-13 19:52:39"/>
    <n v="21191609"/>
    <x v="0"/>
    <s v="[Record]"/>
    <n v="2675"/>
    <x v="13"/>
    <s v="36, 3rd Store, 7th Sector, 14th main, HSR Layout"/>
    <s v="7th Sector"/>
    <s v="Bangalore"/>
    <n v="2219"/>
    <x v="41"/>
    <n v="198"/>
    <n v="198"/>
    <n v="250"/>
    <n v="34"/>
    <n v="0"/>
    <s v="12.9118135,77.637958"/>
    <n v="1.9"/>
    <s v="SWIGGYIT"/>
    <s v="UPICollect"/>
    <s v="HSR Layout"/>
    <x v="0"/>
    <n v="0"/>
    <x v="35"/>
    <x v="4"/>
    <s v="Subway"/>
    <n v="12.911813499999999"/>
    <n v="77.637957999999998"/>
  </r>
  <r>
    <n v="165960896748502"/>
    <b v="1"/>
    <s v="TRYNEW"/>
    <s v="[{&quot;id&quot;:&quot;a06ad688-47c7-4d07-b1e6-983b5c122814&quot;,&quot;super_type&quot;:&quot;SUPERTYPE_UNSPECIFIED&quot;,&quot;total_offer_discount&quot;:111.6,&quot;discount_share&quot;:{&quot;swiggy_discount&quot;:22.32,&quot;store_discount&quot;:89.28,&quot;alliance_discount&quot;:0},&quot;discount_type&quot;:&quot;PERCENTAGE&quot;,&quot;description&quot;:&quot;60% off&quot;,&quot;fixed_charges&quot;:{&quot;gp&quot;:{&quot;id&quot;:&quot;&quot;,&quot;final_price&quot;:0}}}]"/>
    <x v="51"/>
    <s v="2024-02-04 01:45:34"/>
    <n v="21191609"/>
    <x v="0"/>
    <s v="[Record]"/>
    <n v="418488"/>
    <x v="17"/>
    <s v="#345, kaikondrahalli Sarjapura main road Bangalore 560056, Mahadevpura, B.B.M.P East, Karnataka - 560056"/>
    <s v="Kaikondrahalli"/>
    <s v="Bangalore"/>
    <n v="805"/>
    <x v="42"/>
    <n v="115"/>
    <n v="115"/>
    <n v="186"/>
    <n v="50"/>
    <n v="0"/>
    <s v="12.913087,77.678681"/>
    <n v="4.4000000000000004"/>
    <s v="TRYNEW"/>
    <s v="UPICollect"/>
    <s v="Bellandur Sarjapur"/>
    <x v="1"/>
    <n v="0"/>
    <x v="36"/>
    <x v="6"/>
    <s v="NOTO"/>
    <n v="12.913087000000001"/>
    <n v="77.678680999999997"/>
  </r>
  <r>
    <n v="165923274381702"/>
    <b v="0"/>
    <s v=""/>
    <s v=""/>
    <x v="52"/>
    <s v="2024-02-03 15:18:26"/>
    <n v="21191609"/>
    <x v="0"/>
    <s v="[Record]"/>
    <n v="422128"/>
    <x v="18"/>
    <s v="KORMANGALA, 6th block, 80ft main road Shop no 2, NA chambers 2 , 478, 6th Block, Koramangala, Bengaluru, Karnataka 560095, India"/>
    <s v="6th Block"/>
    <s v="Bangalore"/>
    <n v="1851"/>
    <x v="43"/>
    <n v="222"/>
    <n v="222"/>
    <n v="199"/>
    <n v="46"/>
    <n v="0"/>
    <s v="12.9398836,77.6252951"/>
    <n v="5"/>
    <s v=""/>
    <s v="UPICollect"/>
    <s v="Koramangala"/>
    <x v="0"/>
    <n v="0"/>
    <x v="37"/>
    <x v="7"/>
    <s v="Baba Ganoush"/>
    <n v="12.9398836"/>
    <n v="77.625295100000002"/>
  </r>
  <r>
    <n v="165854296189400"/>
    <b v="1"/>
    <s v="SWIGGYIT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x v="53"/>
    <s v="2024-02-02 20:09:12"/>
    <n v="21191609"/>
    <x v="0"/>
    <s v="[Record]"/>
    <n v="647582"/>
    <x v="16"/>
    <s v="130, 17th H Main Rd, KHB Colony, M.I.G, 5th Block, Koramangala, Bengaluru, Karnataka 560095, India"/>
    <s v="KHB Colony"/>
    <s v="Bangalore"/>
    <n v="3484"/>
    <x v="36"/>
    <n v="212"/>
    <n v="212"/>
    <n v="209"/>
    <n v="56"/>
    <n v="0"/>
    <s v="12.934678,77.616812"/>
    <n v="5.9"/>
    <s v="SWIGGYIT"/>
    <s v="UPICollect"/>
    <s v="Koramangala"/>
    <x v="0"/>
    <n v="0"/>
    <x v="38"/>
    <x v="7"/>
    <s v="Smoky Docky"/>
    <n v="12.934678"/>
    <n v="77.616811999999996"/>
  </r>
  <r>
    <n v="165409130967084"/>
    <b v="0"/>
    <s v=""/>
    <s v=""/>
    <x v="54"/>
    <s v="2024-01-28 16:28:56"/>
    <n v="21191609"/>
    <x v="0"/>
    <s v="[Record]"/>
    <n v="647582"/>
    <x v="16"/>
    <s v="130, 17th H Main Rd, KHB Colony, M.I.G, 5th Block, Koramangala, Bengaluru, Karnataka 560095, India"/>
    <s v="KHB Colony"/>
    <s v="Bangalore"/>
    <n v="1732"/>
    <x v="44"/>
    <n v="233"/>
    <n v="233"/>
    <n v="209"/>
    <n v="62"/>
    <n v="0"/>
    <s v="12.934678,77.616812"/>
    <n v="5.9"/>
    <s v=""/>
    <s v="Cash"/>
    <s v="Koramangala"/>
    <x v="1"/>
    <n v="0"/>
    <x v="39"/>
    <x v="7"/>
    <s v="Smoky Docky"/>
    <n v="12.934678"/>
    <n v="77.616811999999996"/>
  </r>
  <r>
    <n v="165341581288776"/>
    <b v="1"/>
    <s v="SWIGGYIT"/>
    <s v="[{&quot;id&quot;:&quot;0d0cbd02-407f-4bb6-9c39-91b66ef5c01e&quot;,&quot;super_type&quot;:&quot;SUPERTYPE_UNSPECIFIED&quot;,&quot;total_offer_discount&quot;:50,&quot;discount_share&quot;:{&quot;swiggy_discount&quot;:0,&quot;store_discount&quot;:50,&quot;alliance_discount&quot;:0},&quot;discount_type&quot;:&quot;PERCENTAGE&quot;,&quot;description&quot;:&quot;20% off&quot;,&quot;fixed_charges&quot;:{&quot;gp&quot;:{&quot;id&quot;:&quot;&quot;,&quot;final_price&quot;:0}}}]"/>
    <x v="55"/>
    <s v="2024-01-27 21:43:42"/>
    <n v="21191609"/>
    <x v="0"/>
    <m/>
    <n v="23805"/>
    <x v="19"/>
    <s v="Ground Floor, # 1573, Sector 1(Agara), HSR Layout,,Bangalore - 560102"/>
    <s v="1st Sector"/>
    <s v="Bangalore"/>
    <n v="1409"/>
    <x v="45"/>
    <n v="599"/>
    <n v="599"/>
    <n v="578"/>
    <n v="0"/>
    <n v="0"/>
    <s v="12.923037,77.646448"/>
    <n v="0"/>
    <s v="SWIGGYIT"/>
    <s v="UPICollect"/>
    <s v="HSR Layout"/>
    <x v="0"/>
    <n v="0"/>
    <x v="40"/>
    <x v="4"/>
    <s v="Domino's Pizza"/>
    <n v="12.923037000000001"/>
    <n v="77.646448000000007"/>
  </r>
  <r>
    <n v="164743294943602"/>
    <b v="1"/>
    <s v="TRYNEW"/>
    <s v="[{&quot;id&quot;:&quot;66f89a57-1f02-4c46-a99b-8fc3b891874a&quot;,&quot;super_type&quot;:&quot;SUPERTYPE_UNSPECIFIED&quot;,&quot;total_offer_discount&quot;:49.99,&quot;discount_share&quot;:{&quot;swiggy_discount&quot;:7.5,&quot;store_discount&quot;:42.49,&quot;alliance_discount&quot;:0},&quot;discount_type&quot;:&quot;PERCENTAGE&quot;,&quot;description&quot;:&quot;20% off&quot;,&quot;fixed_charges&quot;:{&quot;gp&quot;:{&quot;id&quot;:&quot;&quot;,&quot;final_price&quot;:0}}}]"/>
    <x v="56"/>
    <s v="2024-01-20 23:31:48"/>
    <n v="21191609"/>
    <x v="0"/>
    <s v="[Record]"/>
    <n v="502673"/>
    <x v="20"/>
    <s v="Near VI store, 647, 27th main road, sector 2, sector 5, 1st sector HSR Layout, Bengaluru Karnataka - 560102"/>
    <s v="2nd Sector"/>
    <s v="Bangalore"/>
    <n v="1413"/>
    <x v="46"/>
    <n v="588"/>
    <n v="588"/>
    <n v="586.66999999999996"/>
    <n v="36"/>
    <n v="0"/>
    <s v="12.916097,77.65184"/>
    <n v="0.5"/>
    <s v="TRYNEW"/>
    <s v="UPICollect"/>
    <s v="HSR Layout"/>
    <x v="1"/>
    <n v="0"/>
    <x v="41"/>
    <x v="4"/>
    <s v="The Belgian Waffle Co."/>
    <n v="12.916097000000001"/>
    <n v="77.651840000000007"/>
  </r>
  <r>
    <n v="164714296625099"/>
    <b v="0"/>
    <s v=""/>
    <s v=""/>
    <x v="57"/>
    <s v="2024-01-20 15:28:43"/>
    <n v="21191609"/>
    <x v="0"/>
    <s v="[Record]"/>
    <n v="647582"/>
    <x v="16"/>
    <s v="130, 17th H Main Rd, KHB Colony, M.I.G, 5th Block, Koramangala, Bengaluru, Karnataka 560095, India"/>
    <s v="KHB Colony"/>
    <s v="Bangalore"/>
    <n v="2746"/>
    <x v="44"/>
    <n v="233"/>
    <n v="233"/>
    <n v="209"/>
    <n v="58"/>
    <n v="0"/>
    <s v="12.934678,77.616812"/>
    <n v="5.9"/>
    <s v=""/>
    <s v="UPICollect"/>
    <s v="Koramangala"/>
    <x v="0"/>
    <n v="0"/>
    <x v="41"/>
    <x v="7"/>
    <s v="Smoky Docky"/>
    <n v="12.934678"/>
    <n v="77.616811999999996"/>
  </r>
  <r>
    <n v="164376172877898"/>
    <b v="1"/>
    <s v="FLAT100"/>
    <s v="[{&quot;id&quot;:&quot;c5767fa3-4c94-4be2-88d4-9b923f4a2e14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 ₹100 off&quot;,&quot;fixed_charges&quot;:{&quot;gp&quot;:{&quot;id&quot;:&quot;&quot;,&quot;final_price&quot;:0}}}]"/>
    <x v="58"/>
    <s v="2024-01-16 17:33:03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411"/>
    <x v="47"/>
    <n v="886"/>
    <n v="886"/>
    <n v="913.5"/>
    <n v="78"/>
    <n v="0"/>
    <s v="12.927366,77.692146"/>
    <n v="6.2"/>
    <s v="FLAT100"/>
    <s v="UPICollect"/>
    <s v="Devarabeesanahalli"/>
    <x v="1"/>
    <n v="0"/>
    <x v="42"/>
    <x v="9"/>
    <s v="The Ganache Factory"/>
    <n v="12.927365999999999"/>
    <n v="77.692145999999994"/>
  </r>
  <r>
    <n v="164376027513893"/>
    <b v="1"/>
    <s v="FLAT100"/>
    <s v="[{&quot;id&quot;:&quot;4102e284-fde9-40d3-b050-82926746d231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 ₹100 off&quot;,&quot;fixed_charges&quot;:{&quot;gp&quot;:{&quot;id&quot;:&quot;&quot;,&quot;final_price&quot;:0}}}]"/>
    <x v="59"/>
    <s v="2024-01-16 17:30:32"/>
    <n v="21191609"/>
    <x v="1"/>
    <m/>
    <n v="15250"/>
    <x v="2"/>
    <s v="#156, 43rd Cross, 8th Block, Next to Udupi Hub Resto, Jayanagar, Bangalore"/>
    <s v="8th Block"/>
    <s v="Bangalore"/>
    <n v="0"/>
    <x v="48"/>
    <n v="885"/>
    <n v="885"/>
    <n v="913.5"/>
    <n v="92"/>
    <n v="0"/>
    <s v="12.91835714,77.578127"/>
    <n v="8.4"/>
    <s v="FLAT100"/>
    <s v="UPICollect"/>
    <s v="Jayanagar"/>
    <x v="0"/>
    <n v="0"/>
    <x v="42"/>
    <x v="1"/>
    <s v="The Ganache Factory"/>
    <n v="12.918357139999999"/>
    <n v="77.578126999999995"/>
  </r>
  <r>
    <n v="164191765873335"/>
    <b v="1"/>
    <s v="FLATDEAL"/>
    <s v="[{&quot;id&quot;:&quot;e869bbb4-07f7-44d5-a519-1acaeadf5e53&quot;,&quot;super_type&quot;:&quot;SUPERTYPE_UNSPECIFIED&quot;,&quot;total_offer_discount&quot;:99.99,&quot;discount_share&quot;:{&quot;swiggy_discount&quot;:29.99,&quot;store_discount&quot;:70,&quot;alliance_discount&quot;:0},&quot;discount_type&quot;:&quot;FLAT&quot;,&quot;description&quot;:&quot;FLAT100 off&quot;,&quot;fixed_charges&quot;:{&quot;gp&quot;:{&quot;id&quot;:&quot;&quot;,&quot;final_price&quot;:0}}}]"/>
    <x v="60"/>
    <s v="2024-01-14 14:19:42"/>
    <n v="21191609"/>
    <x v="0"/>
    <s v="[Record]"/>
    <n v="375045"/>
    <x v="21"/>
    <s v="NO.504, 2ND FLOOR, 6TH CROSS, 6TH BLOCK, KORAMANGALA BANGALORE., BTM Layout, B.B.M.P South, Karnataka-560095"/>
    <s v="6th Block"/>
    <s v="Bangalore"/>
    <n v="3551"/>
    <x v="34"/>
    <n v="466"/>
    <n v="466"/>
    <n v="496"/>
    <n v="52"/>
    <n v="0"/>
    <s v="12.937246,77.624643"/>
    <n v="5.2"/>
    <s v="FLATDEAL"/>
    <s v="UPICollect"/>
    <s v="Koramangala"/>
    <x v="0"/>
    <n v="0"/>
    <x v="43"/>
    <x v="7"/>
    <s v="Paratha Envy"/>
    <n v="12.937246"/>
    <n v="77.624643000000006"/>
  </r>
  <r>
    <n v="163711888473406"/>
    <b v="0"/>
    <s v=""/>
    <s v=""/>
    <x v="61"/>
    <s v="2024-01-09 01:01:48"/>
    <n v="21191609"/>
    <x v="0"/>
    <s v="[Record]"/>
    <n v="23682"/>
    <x v="22"/>
    <s v="HSR Layout #1, 14th Main,HSR LSector VII, Bengaluru- 56102."/>
    <s v="HSR Layout"/>
    <s v="Bangalore"/>
    <n v="1000"/>
    <x v="49"/>
    <n v="270"/>
    <n v="270"/>
    <n v="220"/>
    <n v="36"/>
    <n v="0"/>
    <s v="12.91207388,77.6380679"/>
    <n v="0.4"/>
    <s v=""/>
    <s v="UPICollect"/>
    <s v="HSR Layout"/>
    <x v="0"/>
    <n v="0"/>
    <x v="44"/>
    <x v="4"/>
    <s v="McDonald's"/>
    <n v="12.912073879999999"/>
    <n v="77.638067899999996"/>
  </r>
  <r>
    <n v="163004675209983"/>
    <b v="1"/>
    <s v="TRYNEW"/>
    <s v="[{&quot;id&quot;:&quot;c5752e1c-f5c2-4414-85fa-57de3a043c19&quot;,&quot;super_type&quot;:&quot;SUPERTYPE_UNSPECIFIED&quot;,&quot;total_offer_discount&quot;:35.7,&quot;discount_share&quot;:{&quot;swiggy_discount&quot;:0,&quot;store_discount&quot;:35.7,&quot;alliance_discount&quot;:0},&quot;discount_type&quot;:&quot;PERCENTAGE&quot;,&quot;description&quot;:&quot;10% off&quot;,&quot;fixed_charges&quot;:{&quot;gp&quot;:{&quot;id&quot;:&quot;&quot;,&quot;final_price&quot;:0}}}]"/>
    <x v="62"/>
    <s v="2023-12-31 20:34:53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664"/>
    <x v="50"/>
    <n v="342"/>
    <n v="342"/>
    <n v="357"/>
    <n v="76"/>
    <n v="0"/>
    <s v="12.927366,77.692146"/>
    <n v="6.2"/>
    <s v="TRYNEW"/>
    <s v="UPICollect"/>
    <s v="Devarabeesanahalli"/>
    <x v="0"/>
    <n v="0"/>
    <x v="45"/>
    <x v="9"/>
    <s v="The Ganache Factory"/>
    <n v="12.927365999999999"/>
    <n v="77.692145999999994"/>
  </r>
  <r>
    <n v="163004361179135"/>
    <b v="0"/>
    <s v=""/>
    <s v=""/>
    <x v="63"/>
    <s v="2023-12-31 20:29:27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1889"/>
    <x v="51"/>
    <n v="467"/>
    <n v="467"/>
    <n v="400"/>
    <n v="31"/>
    <n v="0"/>
    <s v="12.909368,77.638656"/>
    <n v="2.1"/>
    <s v=""/>
    <s v="UPICollect"/>
    <s v="HSR Layout"/>
    <x v="0"/>
    <n v="0"/>
    <x v="45"/>
    <x v="4"/>
    <s v="Daily Sushi"/>
    <n v="12.909368000000001"/>
    <n v="77.638655999999997"/>
  </r>
  <r>
    <n v="162553743923962"/>
    <b v="1"/>
    <s v="CELEBRATIONS"/>
    <s v="[{&quot;id&quot;:&quot;0cf35ab8-1dc8-4c78-8500-44beda4d0877&quot;,&quot;super_type&quot;:&quot;SUPERTYPE_UNSPECIFIED&quot;,&quot;total_offer_discount&quot;:174.99,&quot;discount_share&quot;:{&quot;swiggy_discount&quot;:52.5,&quot;store_discount&quot;:122.49,&quot;alliance_discount&quot;:0},&quot;discount_type&quot;:&quot;FLAT&quot;,&quot;description&quot;:&quot;Flat ₹175 off&quot;,&quot;fixed_charges&quot;:{&quot;gp&quot;:{&quot;id&quot;:&quot;&quot;,&quot;final_price&quot;:0}}}]"/>
    <x v="64"/>
    <s v="2023-12-26 15:19:25"/>
    <n v="21191609"/>
    <x v="0"/>
    <s v="[Record]"/>
    <n v="398360"/>
    <x v="23"/>
    <s v="#717, 10th main road 2nd cross Hosapalya Opposite of Subodhini English high school ITI layout sector 7."/>
    <s v="MANGAMMANAPALYA"/>
    <s v="Bangalore"/>
    <n v="1788"/>
    <x v="52"/>
    <n v="788"/>
    <n v="788"/>
    <n v="920"/>
    <n v="40"/>
    <n v="0"/>
    <s v="12.90073452,77.6400283"/>
    <n v="2.8"/>
    <s v="CELEBRATIONS"/>
    <s v="UPICollect"/>
    <s v="ITI layout, Hosapalya"/>
    <x v="0"/>
    <n v="0"/>
    <x v="46"/>
    <x v="10"/>
    <s v="Burger Seigneur"/>
    <n v="12.90073452"/>
    <n v="77.640028299999997"/>
  </r>
  <r>
    <n v="162461263812077"/>
    <b v="1"/>
    <s v="MISSEDYOU"/>
    <s v="[{&quot;id&quot;:&quot;8493942f-3551-4789-a766-bd2e8eab5603&quot;,&quot;super_type&quot;:&quot;SUPERTYPE_UNSPECIFIED&quot;,&quot;total_offer_discount&quot;:80,&quot;discount_share&quot;:{&quot;swiggy_discount&quot;:12,&quot;store_discount&quot;:68,&quot;alliance_discount&quot;:0},&quot;discount_type&quot;:&quot;PERCENTAGE&quot;,&quot;description&quot;:&quot;40% off&quot;,&quot;fixed_charges&quot;:{&quot;gp&quot;:{&quot;id&quot;:&quot;&quot;,&quot;final_price&quot;:0}}}]"/>
    <x v="65"/>
    <s v="2023-12-25 13:38:02"/>
    <n v="21191609"/>
    <x v="0"/>
    <s v="[Record]"/>
    <n v="398360"/>
    <x v="23"/>
    <s v="#717, 10th main road 2nd cross Hosapalya Opposite of Subodhini English high school ITI layout sector 7."/>
    <s v="MANGAMMANAPALYA"/>
    <s v="Bangalore"/>
    <n v="1389"/>
    <x v="53"/>
    <n v="372"/>
    <n v="372"/>
    <n v="430"/>
    <n v="40"/>
    <n v="0"/>
    <s v="12.90073452,77.6400283"/>
    <n v="2.7"/>
    <s v="MISSEDYOU"/>
    <s v="UPICollect"/>
    <s v="ITI layout, Hosapalya"/>
    <x v="1"/>
    <n v="0"/>
    <x v="47"/>
    <x v="10"/>
    <s v="Burger Seigneur"/>
    <n v="12.90073452"/>
    <n v="77.640028299999997"/>
  </r>
  <r>
    <n v="161080636531967"/>
    <b v="1"/>
    <s v="SWIGGYIT"/>
    <s v="[{&quot;id&quot;:&quot;485642ce-1796-4eab-9811-3ff5e4b7d538&quot;,&quot;super_type&quot;:&quot;SUPERTYPE_UNSPECIFIED&quot;,&quot;total_offer_discount&quot;:80,&quot;discount_share&quot;:{&quot;swiggy_discount&quot;:28,&quot;store_discount&quot;:52,&quot;alliance_discount&quot;:0},&quot;discount_type&quot;:&quot;PERCENTAGE&quot;,&quot;description&quot;:&quot;40% off&quot;,&quot;fixed_charges&quot;:{&quot;gp&quot;:{&quot;id&quot;:&quot;&quot;,&quot;final_price&quot;:0}}}]"/>
    <x v="66"/>
    <s v="2023-12-09 14:07:34"/>
    <n v="21191609"/>
    <x v="0"/>
    <s v="[Record]"/>
    <n v="2675"/>
    <x v="13"/>
    <s v="36, 3rd Store, 7th Sector, 14th main, HSR Layout"/>
    <s v="7th Sector"/>
    <s v="Bangalore"/>
    <n v="1080"/>
    <x v="54"/>
    <n v="355"/>
    <n v="355"/>
    <n v="399"/>
    <n v="33"/>
    <n v="0"/>
    <s v="12.9118135,77.637958"/>
    <n v="1.9"/>
    <s v="SWIGGYIT"/>
    <s v="UPICollect"/>
    <s v="HSR Layout"/>
    <x v="1"/>
    <n v="0"/>
    <x v="48"/>
    <x v="4"/>
    <s v="Subway"/>
    <n v="12.911813499999999"/>
    <n v="77.637957999999998"/>
  </r>
  <r>
    <n v="160474594456670"/>
    <b v="1"/>
    <s v="MISSEDYOU"/>
    <s v="[{&quot;id&quot;:&quot;bf585ef3-1522-4981-b7a7-5e366761dbce&quot;,&quot;super_type&quot;:&quot;SUPERTYPE_UNSPECIFIED&quot;,&quot;total_offer_discount&quot;:80,&quot;discount_share&quot;:{&quot;swiggy_discount&quot;:28,&quot;store_discount&quot;:52,&quot;alliance_discount&quot;:0},&quot;discount_type&quot;:&quot;PERCENTAGE&quot;,&quot;description&quot;:&quot;40% off&quot;,&quot;fixed_charges&quot;:{&quot;gp&quot;:{&quot;id&quot;:&quot;&quot;,&quot;final_price&quot;:0}}}]"/>
    <x v="67"/>
    <s v="2023-12-02 13:46:52"/>
    <n v="21191609"/>
    <x v="0"/>
    <s v="[Record]"/>
    <n v="2675"/>
    <x v="13"/>
    <s v="36, 3rd Store, 7th Sector, 14th main, HSR Layout"/>
    <s v="7th Sector"/>
    <s v="Bangalore"/>
    <n v="2671"/>
    <x v="55"/>
    <n v="354"/>
    <n v="354"/>
    <n v="398"/>
    <n v="32"/>
    <n v="0"/>
    <s v="12.9118135,77.637958"/>
    <n v="1.9"/>
    <s v="MISSEDYOU"/>
    <s v="UPICollect"/>
    <s v="HSR Layout"/>
    <x v="0"/>
    <n v="0"/>
    <x v="49"/>
    <x v="4"/>
    <s v="Subway"/>
    <n v="12.911813499999999"/>
    <n v="77.637957999999998"/>
  </r>
  <r>
    <n v="159955886050893"/>
    <b v="1"/>
    <s v="SWIGGYIT"/>
    <s v="[{&quot;id&quot;:&quot;a17455c6-6016-48b5-95c0-933ae258bf5c&quot;,&quot;super_type&quot;:&quot;SUPERTYPE_UNSPECIFIED&quot;,&quot;total_offer_discount&quot;:120,&quot;discount_share&quot;:{&quot;swiggy_discount&quot;:36,&quot;store_discount&quot;:84,&quot;alliance_discount&quot;:0},&quot;discount_type&quot;:&quot;PERCENTAGE&quot;,&quot;description&quot;:&quot;60% off&quot;,&quot;fixed_charges&quot;:{&quot;gp&quot;:{&quot;id&quot;:&quot;&quot;,&quot;final_price&quot;:0}}}]"/>
    <x v="68"/>
    <s v="2023-11-26 13:41:50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1550"/>
    <x v="56"/>
    <n v="284"/>
    <n v="284"/>
    <n v="375"/>
    <n v="41"/>
    <n v="0"/>
    <s v="12.906146,77.629745"/>
    <n v="3.3"/>
    <s v="SWIGGYIT"/>
    <s v="UPICollect"/>
    <s v="Bommanahalli"/>
    <x v="0"/>
    <n v="0"/>
    <x v="50"/>
    <x v="11"/>
    <s v="Tharavadu family restaurant"/>
    <n v="12.906146"/>
    <n v="77.629745"/>
  </r>
  <r>
    <n v="159700431113615"/>
    <b v="1"/>
    <s v="FLATDEAL"/>
    <s v="[{&quot;id&quot;:&quot;3be8626e-f3e3-4950-bcca-639767fe94cf&quot;,&quot;super_type&quot;:&quot;SUPERTYPE_UNSPECIFIED&quot;,&quot;total_offer_discount&quot;:100,&quot;discount_share&quot;:{&quot;swiggy_discount&quot;:0,&quot;store_discount&quot;:100,&quot;alliance_discount&quot;:0},&quot;discount_type&quot;:&quot;FLAT&quot;,&quot;description&quot;:&quot;FLAT100 off&quot;,&quot;fixed_charges&quot;:{&quot;gp&quot;:{&quot;id&quot;:&quot;&quot;,&quot;final_price&quot;:0}}}]"/>
    <x v="69"/>
    <s v="2023-11-23 14:44:09"/>
    <n v="21191609"/>
    <x v="0"/>
    <s v="[Record]"/>
    <n v="700113"/>
    <x v="25"/>
    <s v="1237, Sri Sai Crystal 17th cross, 5th Main Rd, HSR Layout, Bengaluru, Karnataka 560102"/>
    <s v="5th Main Rd"/>
    <s v="Bangalore"/>
    <n v="1673"/>
    <x v="57"/>
    <n v="455"/>
    <n v="455"/>
    <n v="530"/>
    <n v="29"/>
    <n v="0"/>
    <s v="12.912028,77.632327"/>
    <n v="2.2999999999999998"/>
    <s v="FLATDEAL"/>
    <s v="UPICollect"/>
    <s v="HSR"/>
    <x v="0"/>
    <n v="0"/>
    <x v="51"/>
    <x v="4"/>
    <s v="The Best Thickshakes Co"/>
    <n v="12.912027999999999"/>
    <n v="77.632327000000004"/>
  </r>
  <r>
    <n v="159024606634682"/>
    <b v="1"/>
    <s v="KINGK50"/>
    <s v="[{&quot;id&quot;:&quot;03ca3c14-fff6-467e-ae52-d8c251b67a76&quot;,&quot;super_type&quot;:&quot;SUPERTYPE_UNSPECIFIED&quot;,&quot;total_offer_discount&quot;:50.01,&quot;discount_share&quot;:{&quot;swiggy_discount&quot;:50.01,&quot;store_discount&quot;:0,&quot;alliance_discount&quot;:0},&quot;discount_type&quot;:&quot;FLAT&quot;,&quot;description&quot;:&quot;Flat ₹200 off&quot;,&quot;fixed_charges&quot;:{&quot;gp&quot;:{&quot;id&quot;:&quot;&quot;,&quot;final_price&quot;:0}},&quot;applied_as&quot;:&quot;SHADOW&quot;,&quot;base_offers&quot;:[{&quot;offer_id&quot;:&quot;92c138b0-4008-4a46-83f9-f28b6636521d&quot;,&quot;coupon_code&quot;:&quot;WORLDCUPMANIA&quot;}]},{&quot;id&quot;:&quot;92c138b0-4008-4a46-83f9-f28b6636521d&quot;,&quot;super_type&quot;:&quot;SUPERTYPE_UNSPECIFIED&quot;,&quot;total_offer_discount&quot;:149.97,&quot;discount_share&quot;:{&quot;swiggy_discount&quot;:30.01,&quot;store_discount&quot;:119.96,&quot;alliance_discount&quot;:0},&quot;discount_type&quot;:&quot;FLAT&quot;,&quot;description&quot;:&quot;FLAT150 off&quot;,&quot;fixed_charges&quot;:{&quot;gp&quot;:{&quot;id&quot;:&quot;&quot;,&quot;final_price&quot;:0}}}]"/>
    <x v="70"/>
    <s v="2023-11-15 19:00:24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2047"/>
    <x v="58"/>
    <n v="380"/>
    <n v="380"/>
    <n v="540"/>
    <n v="44"/>
    <n v="0"/>
    <s v="12.906146,77.629745"/>
    <n v="3.3"/>
    <s v="KINGK50"/>
    <s v="UPICollect"/>
    <s v="Bommanahalli"/>
    <x v="0"/>
    <n v="0"/>
    <x v="52"/>
    <x v="11"/>
    <s v="Tharavadu family restaurant"/>
    <n v="12.906146"/>
    <n v="77.629745"/>
  </r>
  <r>
    <n v="158421216354293"/>
    <b v="0"/>
    <s v=""/>
    <s v=""/>
    <x v="71"/>
    <s v="2023-11-08 19:23:57"/>
    <n v="21191609"/>
    <x v="0"/>
    <s v="[Record]"/>
    <n v="244004"/>
    <x v="26"/>
    <s v="WOW MOMO NO1 120 14th main road 5th sector HSR layout Bangalore BTM layout BBMP south  Karnataka  560102"/>
    <s v="5th sector"/>
    <s v="Bangalore"/>
    <n v="2006"/>
    <x v="59"/>
    <n v="221"/>
    <n v="221"/>
    <n v="268"/>
    <n v="32"/>
    <n v="0"/>
    <s v="12.9161961,77.6377847"/>
    <n v="2.1"/>
    <s v=""/>
    <s v="UPICollect"/>
    <s v="HSR Layout"/>
    <x v="0"/>
    <n v="0"/>
    <x v="53"/>
    <x v="4"/>
    <s v="Wow! Momo"/>
    <n v="12.916196100000001"/>
    <n v="77.637784699999997"/>
  </r>
  <r>
    <n v="158334414702466"/>
    <b v="0"/>
    <s v=""/>
    <s v=""/>
    <x v="72"/>
    <s v="2023-11-07 19:17:27"/>
    <n v="21191609"/>
    <x v="0"/>
    <s v="[Record]"/>
    <n v="742267"/>
    <x v="0"/>
    <s v="Counter No. 23, 24 &amp; 33, No. 53/2,  Doddakannelli Village, Varthur Hobli,  Bangalore, Mahadevapura , B.B.M.P East,  Karnataka-560038"/>
    <s v="Doddakanneli Village"/>
    <s v="Bangalore"/>
    <n v="3013"/>
    <x v="60"/>
    <n v="287"/>
    <n v="287"/>
    <n v="245"/>
    <n v="72"/>
    <n v="0"/>
    <s v="12.9092988,77.6877346"/>
    <n v="5.4"/>
    <s v=""/>
    <s v="UPICollect"/>
    <s v="Bellandur Sarjapur"/>
    <x v="0"/>
    <n v="2"/>
    <x v="54"/>
    <x v="6"/>
    <s v="Paris Panini"/>
    <n v="12.9092988"/>
    <n v="77.687734599999999"/>
  </r>
  <r>
    <n v="158133339719955"/>
    <b v="1"/>
    <s v="WORLDCUPMANIA"/>
    <s v="[{&quot;id&quot;:&quot;fcc09378-6922-4b80-a505-f2cda5e1f89c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150 off&quot;,&quot;fixed_charges&quot;:{&quot;gp&quot;:{&quot;id&quot;:&quot;&quot;,&quot;final_price&quot;:0}}}]"/>
    <x v="73"/>
    <s v="2023-11-05 11:25:54"/>
    <n v="21191609"/>
    <x v="0"/>
    <s v="[Record]"/>
    <n v="17036"/>
    <x v="12"/>
    <s v="No.17, Ground Floor, 18th Cross Road, 3rd Sector, HSR Layout, Bangalore."/>
    <s v="HSR Layout"/>
    <s v="Bangalore"/>
    <n v="1495"/>
    <x v="30"/>
    <n v="251"/>
    <n v="251"/>
    <n v="349"/>
    <n v="31"/>
    <n v="0"/>
    <s v="12.91183127,77.64382903"/>
    <n v="1.6"/>
    <s v="WORLDCUPMANIA"/>
    <s v="UPICollect"/>
    <s v="HSR Layout"/>
    <x v="0"/>
    <n v="0"/>
    <x v="55"/>
    <x v="4"/>
    <s v="Leon's"/>
    <n v="12.91183127"/>
    <n v="77.643829030000006"/>
  </r>
  <r>
    <n v="158078123542130"/>
    <b v="1"/>
    <s v="WORLDCUPMANIA"/>
    <s v="[{&quot;id&quot;:&quot;078f55cb-bc8e-4ef0-bdc1-3980cdc6873c&quot;,&quot;super_type&quot;:&quot;SUPERTYPE_UNSPECIFIED&quot;,&quot;total_offer_discount&quot;:150,&quot;discount_share&quot;:{&quot;swiggy_discount&quot;:45,&quot;store_discount&quot;:105,&quot;alliance_discount&quot;:0},&quot;discount_type&quot;:&quot;FLAT&quot;,&quot;description&quot;:&quot;FLAT150 off&quot;,&quot;fixed_charges&quot;:{&quot;gp&quot;:{&quot;id&quot;:&quot;&quot;,&quot;final_price&quot;:0}}}]"/>
    <x v="74"/>
    <s v="2023-11-04 20:05:40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2736"/>
    <x v="61"/>
    <n v="333"/>
    <n v="333"/>
    <n v="420"/>
    <n v="40"/>
    <n v="0"/>
    <s v="12.909368,77.638656"/>
    <n v="2.1"/>
    <s v="WORLDCUPMANIA"/>
    <s v="UPICollect"/>
    <s v="HSR Layout"/>
    <x v="1"/>
    <n v="0"/>
    <x v="56"/>
    <x v="4"/>
    <s v="Daily Sushi"/>
    <n v="12.909368000000001"/>
    <n v="77.638655999999997"/>
  </r>
  <r>
    <n v="158041541026826"/>
    <b v="0"/>
    <s v=""/>
    <s v=""/>
    <x v="75"/>
    <s v="2023-11-04 09:55:59"/>
    <n v="21191609"/>
    <x v="0"/>
    <s v="[Record]"/>
    <n v="62430"/>
    <x v="27"/>
    <s v="235, 9th Main Road, Sector 7, HSR Layout, Sector 7, HSR Layout, Bengaluru, Karnataka 560102"/>
    <s v="7th Sector"/>
    <s v="Bangalore"/>
    <n v="2540"/>
    <x v="62"/>
    <n v="191"/>
    <n v="191"/>
    <n v="169"/>
    <n v="33"/>
    <n v="0"/>
    <s v="12.912837,77.63510900000006"/>
    <n v="2.1"/>
    <s v=""/>
    <s v="UPICollect"/>
    <s v="HSR Layout"/>
    <x v="0"/>
    <n v="0"/>
    <x v="56"/>
    <x v="4"/>
    <s v="Dosa Chicken &amp; Tiffins"/>
    <n v="12.912837"/>
    <n v="77.635109"/>
  </r>
  <r>
    <n v="157279336071863"/>
    <b v="1"/>
    <s v="SWIGGYIT"/>
    <s v="[{&quot;id&quot;:&quot;56bb9bfb-bb7d-4334-9bfa-0b49fa1625e7&quot;,&quot;super_type&quot;:&quot;SUPERTYPE_UNSPECIFIED&quot;,&quot;total_offer_discount&quot;:50,&quot;discount_share&quot;:{&quot;swiggy_discount&quot;:25,&quot;store_discount&quot;:25,&quot;alliance_discount&quot;:0},&quot;discount_type&quot;:&quot;PERCENTAGE&quot;,&quot;description&quot;:&quot;20% off&quot;,&quot;fixed_charges&quot;:{&quot;gp&quot;:{&quot;id&quot;:&quot;&quot;,&quot;final_price&quot;:0}}}]"/>
    <x v="76"/>
    <s v="2023-10-26 14:12:30"/>
    <n v="21191609"/>
    <x v="0"/>
    <s v="[Record]"/>
    <n v="17036"/>
    <x v="12"/>
    <s v="No.17, Ground Floor, 18th Cross Road, 3rd Sector, HSR Layout, Bangalore."/>
    <s v="HSR Layout"/>
    <s v="Bangalore"/>
    <n v="782"/>
    <x v="63"/>
    <n v="298"/>
    <n v="298"/>
    <n v="295.86"/>
    <n v="30"/>
    <n v="0"/>
    <s v="12.91183127,77.64382903"/>
    <n v="0.2"/>
    <s v="SWIGGYIT"/>
    <s v="UPICollect"/>
    <s v="HSR Layout"/>
    <x v="1"/>
    <n v="0"/>
    <x v="57"/>
    <x v="4"/>
    <s v="Leon's"/>
    <n v="12.91183127"/>
    <n v="77.643829030000006"/>
  </r>
  <r>
    <n v="157212479386394"/>
    <b v="0"/>
    <s v=""/>
    <s v=""/>
    <x v="77"/>
    <s v="2023-10-25 19:38:20"/>
    <n v="21191609"/>
    <x v="0"/>
    <s v="[Record]"/>
    <n v="488099"/>
    <x v="28"/>
    <s v="73, 27 th Main Road,Phase 3, Agara Village,1 st Sector"/>
    <s v="1st Sector"/>
    <s v="Bangalore"/>
    <n v="661"/>
    <x v="64"/>
    <n v="167"/>
    <n v="167"/>
    <n v="149"/>
    <n v="42"/>
    <n v="0"/>
    <s v="12.920751,77.650396"/>
    <n v="0.6"/>
    <s v=""/>
    <s v="UPICollect"/>
    <s v="HSR Layout"/>
    <x v="1"/>
    <n v="0"/>
    <x v="58"/>
    <x v="4"/>
    <s v="The Himalayan Momo Company"/>
    <n v="12.920750999999999"/>
    <n v="77.650396000000001"/>
  </r>
  <r>
    <n v="157095860714592"/>
    <b v="1"/>
    <s v="LUNCHBINGE"/>
    <s v="[{&quot;id&quot;:&quot;ea6bee14-f548-4089-84e7-e3203d403723&quot;,&quot;super_type&quot;:&quot;SUPERTYPE_UNSPECIFIED&quot;,&quot;total_offer_discount&quot;:99.99,&quot;discount_share&quot;:{&quot;swiggy_discount&quot;:30,&quot;store_discount&quot;:69.99,&quot;alliance_discount&quot;:0},&quot;discount_type&quot;:&quot;FLAT&quot;,&quot;description&quot;:&quot;FLAT100 off&quot;,&quot;fixed_charges&quot;:{&quot;gp&quot;:{&quot;id&quot;:&quot;&quot;,&quot;final_price&quot;:0}}}]"/>
    <x v="78"/>
    <s v="2023-10-24 11:14:46"/>
    <n v="21191609"/>
    <x v="0"/>
    <s v="[Record]"/>
    <n v="348329"/>
    <x v="21"/>
    <s v="NO.1560/1435/33, K SOMASHEKHAR REDDY, KAIKONDRAHALLI, BANGALORE., Mahadevapura , B.B.M.P East, Karnataka-560035"/>
    <s v="Kaikondrahalli"/>
    <s v="Bangalore"/>
    <n v="2007"/>
    <x v="65"/>
    <n v="300"/>
    <n v="300"/>
    <n v="357"/>
    <n v="41"/>
    <n v="0"/>
    <s v="12.9075344,77.67582123"/>
    <n v="5"/>
    <s v="LUNCHBINGE"/>
    <s v="UPIIntent"/>
    <s v="Sarjapur Road"/>
    <x v="1"/>
    <n v="0"/>
    <x v="59"/>
    <x v="6"/>
    <s v="Paratha Envy"/>
    <n v="12.907534399999999"/>
    <n v="77.675821229999997"/>
  </r>
  <r>
    <n v="156956128612767"/>
    <b v="1"/>
    <s v="WORLDCUPMANIA"/>
    <s v="[{&quot;id&quot;:&quot;3bd1bb74-de3a-4270-a72c-02c43dcf7ce4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150 off&quot;,&quot;fixed_charges&quot;:{&quot;gp&quot;:{&quot;id&quot;:&quot;&quot;,&quot;final_price&quot;:0}}}]"/>
    <x v="79"/>
    <s v="2023-10-22 20:25:40"/>
    <n v="21191609"/>
    <x v="0"/>
    <s v="[Record]"/>
    <n v="17036"/>
    <x v="12"/>
    <s v="No.17, Ground Floor, 18th Cross Road, 3rd Sector, HSR Layout, Bangalore."/>
    <s v="HSR Layout"/>
    <s v="Bangalore"/>
    <n v="927"/>
    <x v="59"/>
    <n v="221"/>
    <n v="221"/>
    <n v="320.86"/>
    <n v="33"/>
    <n v="0"/>
    <s v="12.91183127,77.64382903"/>
    <n v="1.3"/>
    <s v="WORLDCUPMANIA"/>
    <s v="UPIIntent"/>
    <s v="HSR Layout"/>
    <x v="0"/>
    <n v="0"/>
    <x v="60"/>
    <x v="4"/>
    <s v="Leon's"/>
    <n v="12.91183127"/>
    <n v="77.643829030000006"/>
  </r>
  <r>
    <n v="156923241346336"/>
    <b v="1"/>
    <s v="WORLDCUPMANIA"/>
    <s v="[{&quot;id&quot;:&quot;8f719de5-eb1b-4866-993e-5d0ef85a8583&quot;,&quot;super_type&quot;:&quot;SUPERTYPE_UNSPECIFIED&quot;,&quot;total_offer_discount&quot;:149.98000000000002,&quot;discount_share&quot;:{&quot;swiggy_discount&quot;:30,&quot;store_discount&quot;:119.98,&quot;alliance_discount&quot;:0},&quot;discount_type&quot;:&quot;FLAT&quot;,&quot;description&quot;:&quot;FLAT150 off&quot;,&quot;fixed_charges&quot;:{&quot;gp&quot;:{&quot;id&quot;:&quot;&quot;,&quot;final_price&quot;:0}}}]"/>
    <x v="80"/>
    <s v="2023-10-22 11:17:36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1957"/>
    <x v="66"/>
    <n v="289"/>
    <n v="289"/>
    <n v="410"/>
    <n v="41"/>
    <n v="0"/>
    <s v="12.906146,77.629745"/>
    <n v="3.3"/>
    <s v="WORLDCUPMANIA"/>
    <s v="UPIIntent"/>
    <s v="Bommanahalli"/>
    <x v="0"/>
    <n v="0"/>
    <x v="60"/>
    <x v="11"/>
    <s v="Tharavadu family restaurant"/>
    <n v="12.906146"/>
    <n v="77.629745"/>
  </r>
  <r>
    <n v="156864275866899"/>
    <b v="0"/>
    <s v=""/>
    <s v=""/>
    <x v="81"/>
    <s v="2023-10-21 18:54:52"/>
    <n v="21191609"/>
    <x v="0"/>
    <s v="[Record]"/>
    <n v="55737"/>
    <x v="29"/>
    <s v="32/21 near Maruti showroom outer ring road belladur Bangalore"/>
    <s v="Outer Ring Road"/>
    <s v="Bangalore"/>
    <n v="2025"/>
    <x v="67"/>
    <n v="265"/>
    <n v="265"/>
    <n v="239"/>
    <n v="49"/>
    <n v="0"/>
    <s v="12.928069,77.679204"/>
    <n v="4.2"/>
    <s v=""/>
    <s v="UPIIntent"/>
    <s v="Bellandur"/>
    <x v="0"/>
    <n v="0"/>
    <x v="61"/>
    <x v="6"/>
    <s v="Kairali Restaurant"/>
    <n v="12.928069000000001"/>
    <n v="77.679203999999999"/>
  </r>
  <r>
    <n v="156652104418064"/>
    <b v="1"/>
    <s v="TRYNEW-XL"/>
    <s v="[{&quot;id&quot;:&quot;b78bb0be-4ca2-4b04-af1e-66e991460b12&quot;,&quot;super_type&quot;:&quot;SUPERTYPE_UNSPECIFIED&quot;,&quot;total_offer_discount&quot;:62.099999999999994,&quot;discount_share&quot;:{&quot;swiggy_discount&quot;:18.63,&quot;store_discount&quot;:43.47,&quot;alliance_discount&quot;:0},&quot;discount_type&quot;:&quot;PERCENTAGE&quot;,&quot;description&quot;:&quot;30% off&quot;,&quot;fixed_charges&quot;:{&quot;gp&quot;:{&quot;id&quot;:&quot;&quot;,&quot;final_price&quot;:0}}}]"/>
    <x v="82"/>
    <s v="2023-10-19 07:58:54"/>
    <n v="21191609"/>
    <x v="0"/>
    <s v="[Record]"/>
    <n v="201224"/>
    <x v="30"/>
    <s v="Asha Tiffins, 5th Main Road, Sector 7, HSR Layout, Bengaluru, Karnataka, India"/>
    <s v="7th Sector"/>
    <s v="Bangalore"/>
    <n v="753"/>
    <x v="68"/>
    <n v="189"/>
    <n v="189"/>
    <n v="207"/>
    <n v="30"/>
    <n v="0"/>
    <s v="12.911856,77.6325489999999"/>
    <n v="2.4"/>
    <s v="TRYNEW-XL"/>
    <s v="UPICollect"/>
    <s v="HSR Layout"/>
    <x v="1"/>
    <n v="0"/>
    <x v="62"/>
    <x v="4"/>
    <s v="Asha tiffins"/>
    <n v="12.911856"/>
    <n v="77.632548999999898"/>
  </r>
  <r>
    <n v="155826395288522"/>
    <b v="1"/>
    <s v="SWIGGYIT"/>
    <s v="[{&quot;id&quot;:&quot;6ee62658-3aa8-497e-8248-ac41eba5d5ef&quot;,&quot;super_type&quot;:&quot;SUPERTYPE_UNSPECIFIED&quot;,&quot;total_offer_discount&quot;:50,&quot;discount_share&quot;:{&quot;swiggy_discount&quot;:15,&quot;store_discount&quot;:35,&quot;alliance_discount&quot;:0},&quot;discount_type&quot;:&quot;PERCENTAGE&quot;,&quot;description&quot;:&quot;20% off&quot;,&quot;fixed_charges&quot;:{&quot;gp&quot;:{&quot;id&quot;:&quot;&quot;,&quot;final_price&quot;:0}}}]"/>
    <x v="83"/>
    <s v="2023-10-09 18:36:50"/>
    <n v="21191609"/>
    <x v="0"/>
    <s v="[Record]"/>
    <n v="709170"/>
    <x v="31"/>
    <s v="imperio restaurant , 495, 17th Cross Rd, Parangi Palaya, Sector 2, HSR Layout, Bengaluru, Karnataka"/>
    <s v="Sector 2"/>
    <s v="Bangalore"/>
    <n v="1001"/>
    <x v="69"/>
    <n v="229"/>
    <n v="229"/>
    <n v="258"/>
    <n v="48"/>
    <n v="0"/>
    <s v="12.91181824,77.6495233"/>
    <n v="0.7"/>
    <s v="SWIGGYIT"/>
    <s v="UPIIntent"/>
    <s v="HSR"/>
    <x v="1"/>
    <n v="2"/>
    <x v="63"/>
    <x v="4"/>
    <s v="Imperio Restaurant"/>
    <n v="12.911818240000001"/>
    <n v="77.649523299999998"/>
  </r>
  <r>
    <n v="154933952448406"/>
    <b v="0"/>
    <s v=""/>
    <s v=""/>
    <x v="84"/>
    <s v="2023-09-29 10:42:49"/>
    <n v="21191609"/>
    <x v="0"/>
    <s v="[Record]"/>
    <n v="348329"/>
    <x v="21"/>
    <s v="NO.1560/1435/33, K SOMASHEKHAR REDDY, KAIKONDRAHALLI, BANGALORE., Mahadevapura , B.B.M.P East, Karnataka-560035"/>
    <s v="Kaikondrahalli"/>
    <s v="Bangalore"/>
    <n v="2566"/>
    <x v="70"/>
    <n v="553"/>
    <n v="553"/>
    <n v="535"/>
    <n v="44"/>
    <n v="0"/>
    <s v="12.9075344,77.67582123"/>
    <n v="5"/>
    <s v=""/>
    <s v="UPICollect"/>
    <s v="Sarjapur Road"/>
    <x v="1"/>
    <n v="0"/>
    <x v="64"/>
    <x v="6"/>
    <s v="Paratha Envy"/>
    <n v="12.907534399999999"/>
    <n v="77.675821229999997"/>
  </r>
  <r>
    <n v="178713153585"/>
    <b v="1"/>
    <s v="TRYNEW"/>
    <s v="[{&quot;id&quot;:&quot;60385055-547d-4c3b-bef2-75f14c9cfb0d&quot;,&quot;super_type&quot;:&quot;SUPERTYPE_UNSPECIFIED&quot;,&quot;total_offer_discount&quot;:119.99,&quot;discount_share&quot;:{&quot;swiggy_discount&quot;:36,&quot;store_discount&quot;:83.99,&quot;alliance_discount&quot;:0},&quot;discount_type&quot;:&quot;PERCENTAGE&quot;,&quot;description&quot;:&quot;60% off&quot;,&quot;fixed_charges&quot;:{&quot;gp&quot;:{&quot;id&quot;:&quot;&quot;,&quot;final_price&quot;:0}}}]"/>
    <x v="85"/>
    <s v="2023-09-25 16:03:35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1467"/>
    <x v="71"/>
    <n v="362"/>
    <n v="362"/>
    <n v="441"/>
    <n v="34"/>
    <n v="0"/>
    <s v="12.906146,77.629745"/>
    <n v="3.3"/>
    <s v="TRYNEW"/>
    <s v="UPICollect"/>
    <s v="Bommanahalli"/>
    <x v="1"/>
    <n v="0"/>
    <x v="65"/>
    <x v="11"/>
    <s v="Tharavadu family restaurant"/>
    <n v="12.906146"/>
    <n v="77.629745"/>
  </r>
  <r>
    <n v="178539970232"/>
    <b v="0"/>
    <s v=""/>
    <s v=""/>
    <x v="86"/>
    <s v="2023-09-23 15:56:34"/>
    <n v="21191609"/>
    <x v="0"/>
    <s v="[Record]"/>
    <n v="567783"/>
    <x v="32"/>
    <s v="NO 2333, 24TH MAIN,17TH CROSS SECTOR NO 1, HSR LAYOUT, Bommanahalli , B.B.M.P South, , Karnataka, 560102"/>
    <s v="1st Sector"/>
    <s v="Bangalore"/>
    <n v="1835"/>
    <x v="72"/>
    <n v="281"/>
    <n v="281"/>
    <n v="256"/>
    <n v="31"/>
    <n v="0"/>
    <s v="12.912110164242,77.648900840197"/>
    <n v="0.5"/>
    <s v=""/>
    <s v="UPICollect"/>
    <s v="HSR Layout"/>
    <x v="0"/>
    <n v="0"/>
    <x v="66"/>
    <x v="4"/>
    <s v="HSR Freshcane Juice"/>
    <n v="12.912110164242"/>
    <n v="77.648900840197001"/>
  </r>
  <r>
    <n v="178180906036"/>
    <b v="1"/>
    <s v="TRYNEW"/>
    <s v="[{&quot;id&quot;:&quot;0c2819fc-1836-431a-8677-00e94af123b8&quot;,&quot;super_type&quot;:&quot;SUPERTYPE_UNSPECIFIED&quot;,&quot;total_offer_discount&quot;:49.99,&quot;discount_share&quot;:{&quot;swiggy_discount&quot;:15,&quot;store_discount&quot;:34.99,&quot;alliance_discount&quot;:0},&quot;discount_type&quot;:&quot;PERCENTAGE&quot;,&quot;description&quot;:&quot;20% off&quot;,&quot;fixed_charges&quot;:{&quot;gp&quot;:{&quot;id&quot;:&quot;&quot;,&quot;final_price&quot;:0}}}]"/>
    <x v="87"/>
    <s v="2023-09-19 12:12:10"/>
    <n v="21191609"/>
    <x v="0"/>
    <s v="[Record]"/>
    <n v="709170"/>
    <x v="31"/>
    <s v="imperio restaurant , 495, 17th Cross Rd, Parangi Palaya, Sector 2, HSR Layout, Bengaluru, Karnataka"/>
    <s v="Sector 2"/>
    <s v="Bangalore"/>
    <n v="971"/>
    <x v="25"/>
    <n v="301"/>
    <n v="301"/>
    <n v="318"/>
    <n v="28"/>
    <n v="0"/>
    <s v="12.91181824,77.6495233"/>
    <n v="0.7"/>
    <s v="TRYNEW"/>
    <s v="UPICollect"/>
    <s v="HSR"/>
    <x v="1"/>
    <n v="0"/>
    <x v="67"/>
    <x v="4"/>
    <s v="Imperio Restaurant"/>
    <n v="12.911818240000001"/>
    <n v="77.649523299999998"/>
  </r>
  <r>
    <n v="178090781440"/>
    <b v="0"/>
    <s v=""/>
    <s v=""/>
    <x v="88"/>
    <s v="2023-09-18 11:10:02"/>
    <n v="21191609"/>
    <x v="0"/>
    <s v="[Record]"/>
    <n v="62430"/>
    <x v="27"/>
    <s v="235, 9th Main Road, Sector 7, HSR Layout, Sector 7, HSR Layout, Bengaluru, Karnataka 560102"/>
    <s v="7th Sector"/>
    <s v="Bangalore"/>
    <n v="2783"/>
    <x v="73"/>
    <n v="190"/>
    <n v="190"/>
    <n v="169"/>
    <n v="28"/>
    <n v="0"/>
    <s v="12.912837,77.63510900000006"/>
    <n v="2"/>
    <s v=""/>
    <s v="UPICollect"/>
    <s v="HSR Layout"/>
    <x v="1"/>
    <n v="0"/>
    <x v="68"/>
    <x v="4"/>
    <s v="Dosa Chicken &amp; Tiffins"/>
    <n v="12.912837"/>
    <n v="77.635109"/>
  </r>
  <r>
    <n v="177591184372"/>
    <b v="1"/>
    <s v="SPECIALS"/>
    <s v="[{&quot;id&quot;:&quot;73f920b6-b8d2-4b29-b4a9-72846208860d&quot;,&quot;super_type&quot;:&quot;SUPERTYPE_UNSPECIFIED&quot;,&quot;total_offer_discount&quot;:80,&quot;discount_share&quot;:{&quot;swiggy_discount&quot;:32,&quot;store_discount&quot;:48,&quot;alliance_discount&quot;:0},&quot;discount_type&quot;:&quot;PERCENTAGE&quot;,&quot;description&quot;:&quot;40% off&quot;,&quot;fixed_charges&quot;:{&quot;gp&quot;:{&quot;id&quot;:&quot;&quot;,&quot;final_price&quot;:0}}}]"/>
    <x v="89"/>
    <s v="2023-09-12 16:23:21"/>
    <n v="21191609"/>
    <x v="0"/>
    <s v="[Record]"/>
    <n v="2675"/>
    <x v="13"/>
    <s v="36, 3rd Store, 7th Sector, 14th main, HSR Layout"/>
    <s v="7th Sector"/>
    <s v="Bangalore"/>
    <n v="1091"/>
    <x v="74"/>
    <n v="244"/>
    <n v="244"/>
    <n v="299"/>
    <n v="28"/>
    <n v="0"/>
    <s v="12.9118135,77.637958"/>
    <n v="1.7"/>
    <s v="SPECIALS"/>
    <s v="UPICollect"/>
    <s v="HSR Layout"/>
    <x v="1"/>
    <n v="0"/>
    <x v="69"/>
    <x v="4"/>
    <s v="Subway"/>
    <n v="12.911813499999999"/>
    <n v="77.637957999999998"/>
  </r>
  <r>
    <n v="177445532607"/>
    <b v="1"/>
    <s v="PARTY"/>
    <s v="[{&quot;id&quot;:&quot;1178c39c-98d9-4510-b5b7-122edfb7e4fc&quot;,&quot;super_type&quot;:&quot;SUPERTYPE_UNSPECIFIED&quot;,&quot;total_offer_discount&quot;:138,&quot;discount_share&quot;:{&quot;swiggy_discount&quot;:0,&quot;store_discount&quot;:138,&quot;alliance_discount&quot;:0},&quot;discount_type&quot;:&quot;PERCENTAGE&quot;,&quot;description&quot;:&quot;10% off&quot;,&quot;fixed_charges&quot;:{&quot;gp&quot;:{&quot;id&quot;:&quot;&quot;,&quot;final_price&quot;:0}}}]"/>
    <x v="90"/>
    <s v="2023-09-10 23:55:52"/>
    <n v="21191609"/>
    <x v="0"/>
    <s v="[Record]"/>
    <n v="395574"/>
    <x v="33"/>
    <s v="No 2324, 17th Cross Road, 1st Sector, HSR Layout, Bengaluru, Karnataka 560012"/>
    <s v="1st Sector"/>
    <s v="Bangalore"/>
    <n v="2259"/>
    <x v="75"/>
    <n v="1369"/>
    <n v="1369"/>
    <n v="1380"/>
    <n v="41"/>
    <n v="0"/>
    <s v="12.912120631518187,77.65069759736535"/>
    <n v="0.8"/>
    <s v="PARTY"/>
    <s v="UPICollect"/>
    <s v="HSR Layout"/>
    <x v="1"/>
    <n v="0"/>
    <x v="70"/>
    <x v="4"/>
    <s v="Plan B"/>
    <n v="12.9121206315181"/>
    <n v="77.650697597365294"/>
  </r>
  <r>
    <n v="177265186487"/>
    <b v="1"/>
    <s v="PARTY"/>
    <s v="[{&quot;id&quot;:&quot;1178c39c-98d9-4510-b5b7-122edfb7e4fc&quot;,&quot;super_type&quot;:&quot;SUPERTYPE_UNSPECIFIED&quot;,&quot;total_offer_discount&quot;:197,&quot;discount_share&quot;:{&quot;swiggy_discount&quot;:0,&quot;store_discount&quot;:197,&quot;alliance_discount&quot;:0},&quot;discount_type&quot;:&quot;PERCENTAGE&quot;,&quot;description&quot;:&quot;10% off&quot;,&quot;fixed_charges&quot;:{&quot;gp&quot;:{&quot;id&quot;:&quot;&quot;,&quot;final_price&quot;:0}}}]"/>
    <x v="91"/>
    <s v="2023-09-08 21:50:07"/>
    <n v="21191609"/>
    <x v="0"/>
    <s v="[Record]"/>
    <n v="395574"/>
    <x v="33"/>
    <s v="No 2324, 17th Cross Road, 1st Sector, HSR Layout, Bengaluru, Karnataka 560012"/>
    <s v="1st Sector"/>
    <s v="Bangalore"/>
    <n v="2907"/>
    <x v="76"/>
    <n v="1905"/>
    <n v="1905"/>
    <n v="1970"/>
    <n v="37"/>
    <n v="0"/>
    <s v="12.912120631518187,77.65069759736535"/>
    <n v="0.7"/>
    <s v="PARTY"/>
    <s v="UPICollect"/>
    <s v="HSR Layout"/>
    <x v="1"/>
    <n v="0"/>
    <x v="71"/>
    <x v="4"/>
    <s v="Plan B"/>
    <n v="12.9121206315181"/>
    <n v="77.650697597365294"/>
  </r>
  <r>
    <n v="176793394432"/>
    <b v="1"/>
    <s v="TRYNEW"/>
    <s v="[{&quot;id&quot;:&quot;6ca97531-301c-4632-a58f-646d0afd9e01&quot;,&quot;super_type&quot;:&quot;SUPERTYPE_UNSPECIFIED&quot;,&quot;total_offer_discount&quot;:39.8,&quot;discount_share&quot;:{&quot;swiggy_discount&quot;:0,&quot;store_discount&quot;:39.8,&quot;alliance_discount&quot;:0},&quot;discount_type&quot;:&quot;PERCENTAGE&quot;,&quot;description&quot;:&quot;10% off&quot;,&quot;fixed_charges&quot;:{&quot;gp&quot;:{&quot;id&quot;:&quot;&quot;,&quot;final_price&quot;:0}}}]"/>
    <x v="92"/>
    <m/>
    <n v="21191609"/>
    <x v="0"/>
    <s v="[Record]"/>
    <n v="298606"/>
    <x v="34"/>
    <s v="No.634 ground floor,5th cross,15th main ,4th block,kormangala (near chinmaya vidyalaya school),bangalore 560034"/>
    <s v="4th Block"/>
    <s v="Bangalore"/>
    <n v="1712"/>
    <x v="20"/>
    <n v="399"/>
    <n v="399"/>
    <n v="398"/>
    <n v="44"/>
    <n v="0"/>
    <s v="12.934488559072948,77.62886978481599"/>
    <n v="4.4000000000000004"/>
    <s v="TRYNEW"/>
    <s v="UPIIntent"/>
    <s v="Koramangala"/>
    <x v="0"/>
    <n v="0"/>
    <x v="72"/>
    <x v="7"/>
    <s v="Drunken Monkey"/>
    <n v="12.9344885590729"/>
    <n v="77.628869784815905"/>
  </r>
  <r>
    <n v="176745115332"/>
    <b v="1"/>
    <s v="TRYNEW"/>
    <s v="[{&quot;id&quot;:&quot;f80596b9-9db2-47d0-98be-dbdde4df4855&quot;,&quot;super_type&quot;:&quot;SUPERTYPE_UNSPECIFIED&quot;,&quot;total_offer_discount&quot;:100,&quot;discount_share&quot;:{&quot;swiggy_discount&quot;:0,&quot;store_discount&quot;:100,&quot;alliance_discount&quot;:0},&quot;discount_type&quot;:&quot;PERCENTAGE&quot;,&quot;description&quot;:&quot;50% off&quot;,&quot;fixed_charges&quot;:{&quot;gp&quot;:{&quot;id&quot;:&quot;&quot;,&quot;final_price&quot;:0}}}]"/>
    <x v="93"/>
    <m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2738"/>
    <x v="77"/>
    <n v="359"/>
    <n v="359"/>
    <n v="400"/>
    <n v="36"/>
    <n v="0"/>
    <s v="12.909368,77.638656"/>
    <n v="2.1"/>
    <s v="TRYNEW"/>
    <s v="UPIIntent"/>
    <s v="HSR Layout"/>
    <x v="0"/>
    <n v="0"/>
    <x v="73"/>
    <x v="4"/>
    <s v="Daily Sushi"/>
    <n v="12.909368000000001"/>
    <n v="77.638655999999997"/>
  </r>
  <r>
    <n v="176716772573"/>
    <b v="1"/>
    <s v="WEEKENDS"/>
    <s v="[{&quot;id&quot;:&quot;e7ca910b-b1f7-4fca-81aa-29bb167a90b0&quot;,&quot;super_type&quot;:&quot;SUPERTYPE_UNSPECIFIED&quot;,&quot;total_offer_discount&quot;:125,&quot;discount_share&quot;:{&quot;swiggy_discount&quot;:50,&quot;store_discount&quot;:75,&quot;alliance_discount&quot;:0},&quot;discount_type&quot;:&quot;FLAT&quot;,&quot;description&quot;:&quot;Flat ₹125 off&quot;,&quot;fixed_charges&quot;:{&quot;gp&quot;:{&quot;id&quot;:&quot;&quot;,&quot;final_price&quot;:0}}}]"/>
    <x v="94"/>
    <m/>
    <n v="21191609"/>
    <x v="0"/>
    <s v="[Record]"/>
    <n v="341895"/>
    <x v="23"/>
    <s v="NO.35, 80FEET ROAD, HAL 3RD STAGE, BANGALORE  B.B.M.P East Karnataka 560075"/>
    <s v="Indiranagar"/>
    <s v="Bangalore"/>
    <n v="2483"/>
    <x v="78"/>
    <n v="356"/>
    <n v="356"/>
    <n v="460"/>
    <n v="34"/>
    <n v="0"/>
    <s v="12.97107,77.647521"/>
    <n v="1.5"/>
    <s v="WEEKENDS"/>
    <s v="UPIIntent"/>
    <s v="Indiranagar"/>
    <x v="1"/>
    <n v="0"/>
    <x v="73"/>
    <x v="12"/>
    <s v="Burger Seigneur"/>
    <n v="12.971069999999999"/>
    <n v="77.647520999999998"/>
  </r>
  <r>
    <n v="176451044220"/>
    <b v="0"/>
    <s v=""/>
    <s v=""/>
    <x v="95"/>
    <m/>
    <n v="21191609"/>
    <x v="0"/>
    <s v="[Record]"/>
    <n v="47603"/>
    <x v="35"/>
    <s v="BUNDL TECHNOLOGIES PVT LTD, 1ST FLOOR, SITE NO.164, KHATA NO.684, PID NO: 658/668/684/1/164/1, BELLANDURVILLAGE, VARTHUR HOBLI, BANGALORE EAST TALUK  560103"/>
    <s v="Green Glen Layout"/>
    <s v="Bangalore"/>
    <n v="1839"/>
    <x v="25"/>
    <n v="301"/>
    <n v="301"/>
    <n v="261.90996999999999"/>
    <n v="39"/>
    <n v="0"/>
    <s v="12.927332,77.669014"/>
    <n v="4.9000000000000004"/>
    <s v=""/>
    <s v="UPIIntent"/>
    <s v="Bellandur"/>
    <x v="0"/>
    <n v="0"/>
    <x v="74"/>
    <x v="6"/>
    <s v="Truffles"/>
    <n v="12.927332"/>
    <n v="77.669014000000004"/>
  </r>
  <r>
    <n v="176221057630"/>
    <b v="0"/>
    <s v=""/>
    <s v=""/>
    <x v="96"/>
    <m/>
    <n v="21191609"/>
    <x v="0"/>
    <s v="[Record]"/>
    <n v="498292"/>
    <x v="36"/>
    <s v="88/1, Ward No, 66, Swiggy Koramangala Super Hub building, Sarjapur Road, Jakkasandra Village, Bangalore 560034"/>
    <s v="1st Block"/>
    <s v="Bangalore"/>
    <n v="2187"/>
    <x v="79"/>
    <n v="164"/>
    <n v="164"/>
    <n v="199"/>
    <n v="41"/>
    <n v="0"/>
    <s v="12.925114189248388,77.6370633020997"/>
    <n v="3.1"/>
    <s v=""/>
    <s v="UPIIntent"/>
    <s v="Koramangala"/>
    <x v="0"/>
    <n v="0"/>
    <x v="75"/>
    <x v="7"/>
    <s v="Istah"/>
    <n v="12.925114189248299"/>
    <n v="77.637063302099705"/>
  </r>
  <r>
    <n v="175968970700"/>
    <b v="1"/>
    <s v="JUMBO"/>
    <s v="[{&quot;id&quot;:&quot;299a513a-6f7c-458c-86bb-38f205d6dbd9&quot;,&quot;super_type&quot;:&quot;SUPERTYPE_UNSPECIFIED&quot;,&quot;total_offer_discount&quot;:109.5,&quot;discount_share&quot;:{&quot;swiggy_discount&quot;:21.9,&quot;store_discount&quot;:87.6,&quot;alliance_discount&quot;:0},&quot;discount_type&quot;:&quot;PERCENTAGE&quot;,&quot;description&quot;:&quot;25% off&quot;,&quot;fixed_charges&quot;:{&quot;gp&quot;:{&quot;id&quot;:&quot;&quot;,&quot;final_price&quot;:0}}}]"/>
    <x v="97"/>
    <m/>
    <n v="21191609"/>
    <x v="1"/>
    <s v="[Record]"/>
    <n v="405903"/>
    <x v="37"/>
    <s v="#NO.104, SHIVALAYA, 17TH C MAIN ROAD, 5TH CROSS, KORAMANGALA, 5 TH BLOCK, BANGALORE,560095,Next to Acura Speciality Hospital,pivotal 4th floor. Karnataka - 560095"/>
    <s v="5th Block"/>
    <s v="Bangalore"/>
    <n v="0"/>
    <x v="80"/>
    <n v="369"/>
    <n v="369"/>
    <n v="438"/>
    <n v="55"/>
    <n v="0"/>
    <s v="12.935401,77.620598"/>
    <n v="5.4"/>
    <s v="JUMBO"/>
    <s v="UPIIntent"/>
    <s v="Koramangala"/>
    <x v="0"/>
    <n v="0"/>
    <x v="76"/>
    <x v="7"/>
    <s v="The Thick Shake Factory"/>
    <n v="12.935401000000001"/>
    <n v="77.620598000000001"/>
  </r>
  <r>
    <n v="175192473312"/>
    <b v="0"/>
    <s v=""/>
    <s v=""/>
    <x v="98"/>
    <m/>
    <n v="21191609"/>
    <x v="0"/>
    <s v="[Record]"/>
    <n v="64914"/>
    <x v="38"/>
    <s v="Devarabeesanahalli Flyover, Devarabisanahalli, Bellandur, Bengaluru, Karnataka 560103"/>
    <s v="Devarabisanahalli"/>
    <s v="Bangalore"/>
    <n v="1654"/>
    <x v="81"/>
    <n v="504"/>
    <n v="504"/>
    <n v="465"/>
    <n v="54"/>
    <n v="0"/>
    <s v="12.930556,77.68499199999997"/>
    <n v="5"/>
    <s v=""/>
    <s v="UPIIntent"/>
    <s v="Bellandur"/>
    <x v="0"/>
    <n v="0"/>
    <x v="77"/>
    <x v="6"/>
    <s v="Kerala Panoor Restaurant"/>
    <n v="12.930555999999999"/>
    <n v="77.684991999999895"/>
  </r>
  <r>
    <n v="174983850554"/>
    <b v="0"/>
    <s v=""/>
    <s v=""/>
    <x v="99"/>
    <m/>
    <n v="21191609"/>
    <x v="0"/>
    <s v="[Record]"/>
    <n v="6907"/>
    <x v="39"/>
    <s v="No 526/A,Ganesh Complex,Ground floor,18th Main Road,HSR 3rd sector,Bangalore:560102"/>
    <s v="3rd Sector"/>
    <s v="Bangalore"/>
    <n v="1728"/>
    <x v="82"/>
    <n v="477"/>
    <n v="477"/>
    <n v="763"/>
    <n v="25"/>
    <n v="0"/>
    <s v="12.9054065,77.64410799999996"/>
    <n v="1.8"/>
    <s v=""/>
    <s v="UPIIntent"/>
    <s v="HSR Layout"/>
    <x v="0"/>
    <n v="0"/>
    <x v="78"/>
    <x v="4"/>
    <s v="FreshMenu"/>
    <n v="12.9054065"/>
    <n v="77.644107999999903"/>
  </r>
  <r>
    <n v="174647551706"/>
    <b v="1"/>
    <s v="JUMBO"/>
    <s v="[{&quot;id&quot;:&quot;6706ebc3-55e8-475e-aba5-bc6ec3ab1f6b&quot;,&quot;super_type&quot;:&quot;SUPERTYPE_UNSPECIFIED&quot;,&quot;total_offer_discount&quot;:119.49000000000001,&quot;discount_share&quot;:{&quot;swiggy_discount&quot;:23.9,&quot;store_discount&quot;:95.59,&quot;alliance_discount&quot;:0},&quot;discount_type&quot;:&quot;PERCENTAGE&quot;,&quot;description&quot;:&quot;25% off&quot;,&quot;fixed_charges&quot;:{&quot;gp&quot;:{&quot;id&quot;:&quot;&quot;,&quot;final_price&quot;:0}}}]"/>
    <x v="100"/>
    <m/>
    <n v="21191609"/>
    <x v="0"/>
    <s v="[Record]"/>
    <n v="405912"/>
    <x v="37"/>
    <s v="#87, 14TH MAIN ROAD, 4TH SECTOR, OPP: _x000a_BDA COMPLEX, HSR LAYOUT BANGALORE-560102, Sangeetha mobile showroom Besment"/>
    <s v="4th sector"/>
    <s v="Bangalore"/>
    <n v="1269"/>
    <x v="83"/>
    <n v="401"/>
    <n v="401"/>
    <n v="478"/>
    <n v="25"/>
    <n v="0"/>
    <s v="12.9125116379822,77.63817068570162"/>
    <n v="1.7"/>
    <s v="JUMBO"/>
    <s v="UPIIntent"/>
    <s v="HSR Layout"/>
    <x v="0"/>
    <n v="0"/>
    <x v="79"/>
    <x v="4"/>
    <s v="The Thick Shake Factory"/>
    <n v="12.912511637982201"/>
    <n v="77.638170685701596"/>
  </r>
  <r>
    <n v="174644435956"/>
    <b v="0"/>
    <s v=""/>
    <s v=""/>
    <x v="101"/>
    <m/>
    <n v="21191609"/>
    <x v="0"/>
    <s v="[Record]"/>
    <n v="398360"/>
    <x v="23"/>
    <s v="#717, 10th main road 2nd cross Hosapalya Opposite of Subodhini English high school ITI layout sector 7."/>
    <s v="MANGAMMANAPALYA"/>
    <s v="Bangalore"/>
    <n v="3238"/>
    <x v="84"/>
    <n v="516"/>
    <n v="516"/>
    <n v="490"/>
    <n v="25"/>
    <n v="0"/>
    <s v="12.9000771,77.640061"/>
    <n v="2.8"/>
    <s v=""/>
    <s v="UPIIntent"/>
    <s v="ITI layout, Hosapalya"/>
    <x v="0"/>
    <n v="0"/>
    <x v="79"/>
    <x v="10"/>
    <s v="Burger Seigneur"/>
    <n v="12.900077100000001"/>
    <n v="77.640061000000003"/>
  </r>
  <r>
    <n v="174559415025"/>
    <b v="1"/>
    <s v="TRYNEW"/>
    <s v="[{&quot;id&quot;:&quot;0fefcb58-9f41-444e-9e59-52c620b546b5&quot;,&quot;super_type&quot;:&quot;SUPERTYPE_UNSPECIFIED&quot;,&quot;total_offer_discount&quot;:100,&quot;discount_share&quot;:{&quot;swiggy_discount&quot;:25,&quot;store_discount&quot;:75,&quot;alliance_discount&quot;:0},&quot;discount_type&quot;:&quot;PERCENTAGE&quot;,&quot;description&quot;:&quot;50% off&quot;,&quot;fixed_charges&quot;:{&quot;gp&quot;:{&quot;id&quot;:&quot;&quot;,&quot;final_price&quot;:0}}}]"/>
    <x v="102"/>
    <m/>
    <n v="21191609"/>
    <x v="0"/>
    <s v="[Record]"/>
    <n v="394626"/>
    <x v="40"/>
    <s v="La Pino'z Pizza, #11/50/3, Ambalipura, Village, Sarjapur - Marathahalli Rd, Bengaluru, Karnataka 560103"/>
    <s v="Sarjapur - Marathahalli Rd"/>
    <s v="Bangalore"/>
    <n v="1585"/>
    <x v="85"/>
    <n v="171"/>
    <n v="171"/>
    <n v="225"/>
    <n v="25"/>
    <n v="0"/>
    <s v="12.919644,77.667114"/>
    <n v="2.8"/>
    <s v="TRYNEW"/>
    <s v="UPIIntent"/>
    <s v="Bellandur"/>
    <x v="0"/>
    <n v="0"/>
    <x v="80"/>
    <x v="6"/>
    <s v="La Pino'z Pizza"/>
    <n v="12.919644"/>
    <n v="77.667113999999998"/>
  </r>
  <r>
    <n v="174376605060"/>
    <b v="0"/>
    <s v=""/>
    <s v=""/>
    <x v="103"/>
    <m/>
    <n v="21191609"/>
    <x v="0"/>
    <s v="[Record]"/>
    <n v="47603"/>
    <x v="35"/>
    <s v="BUNDL TECHNOLOGIES PVT LTD, 1ST FLOOR, SITE NO.164, KHATA NO.684, PID NO: 658/668/684/1/164/1, BELLANDURVILLAGE, VARTHUR HOBLI, BANGALORE EAST TALUK  560103"/>
    <s v="Green Glen Layout"/>
    <s v="Bangalore"/>
    <n v="1720"/>
    <x v="86"/>
    <n v="645"/>
    <n v="645"/>
    <n v="523.83996999999999"/>
    <n v="35"/>
    <n v="0"/>
    <s v="12.927332,77.66901400000006"/>
    <n v="4.0999999999999996"/>
    <s v=""/>
    <s v="UPIIntent"/>
    <s v="Bellandur"/>
    <x v="1"/>
    <n v="0"/>
    <x v="81"/>
    <x v="6"/>
    <s v="Truffles"/>
    <n v="12.927332"/>
    <n v="77.669014000000004"/>
  </r>
  <r>
    <n v="172557699296"/>
    <b v="0"/>
    <s v=""/>
    <s v=""/>
    <x v="104"/>
    <m/>
    <n v="21191609"/>
    <x v="0"/>
    <s v="[Record]"/>
    <n v="660675"/>
    <x v="41"/>
    <s v="No. 146, 5th Block, Koramangala, Bangalore, BTM Layout , B.B.M.P South, Karnataka-560095"/>
    <s v="5th Block Kormangala"/>
    <s v="Bangalore"/>
    <n v="2004"/>
    <x v="87"/>
    <n v="186"/>
    <n v="186"/>
    <n v="159"/>
    <n v="45"/>
    <n v="0"/>
    <s v="12.933842204939534,77.61976898008312"/>
    <n v="5.8"/>
    <s v=""/>
    <s v="UPIIntent"/>
    <s v="Koramangala"/>
    <x v="0"/>
    <n v="0"/>
    <x v="82"/>
    <x v="7"/>
    <s v="Cafe Amudham"/>
    <n v="12.9338422049395"/>
    <n v="77.619768980083094"/>
  </r>
  <r>
    <n v="171953923401"/>
    <b v="0"/>
    <s v=""/>
    <s v=""/>
    <x v="105"/>
    <m/>
    <n v="21191609"/>
    <x v="0"/>
    <s v="[Record]"/>
    <n v="416272"/>
    <x v="42"/>
    <s v="146, 2nd Floor, HSR Layout, Sector 5, Ring Road, Bangalore, BTM Layout , B.B.M.P South, Karnataka - 560102"/>
    <s v="4th Sector"/>
    <s v="Bangalore"/>
    <n v="2648"/>
    <x v="88"/>
    <n v="1136"/>
    <n v="1136"/>
    <n v="1050"/>
    <n v="29"/>
    <n v="0"/>
    <s v="12.916462690900852,77.63573539639873"/>
    <n v="1.7"/>
    <s v=""/>
    <s v="UPIIntent"/>
    <s v="HSR Layout"/>
    <x v="0"/>
    <n v="0"/>
    <x v="83"/>
    <x v="4"/>
    <s v="Table for Tous"/>
    <n v="12.916462690900801"/>
    <n v="77.635735396398701"/>
  </r>
  <r>
    <n v="171863054117"/>
    <b v="1"/>
    <s v="TRYNEW"/>
    <s v="[{&quot;id&quot;:&quot;981538f4-8587-489a-8b69-63a10fd9983e&quot;,&quot;super_type&quot;:&quot;SUPERTYPE_UNSPECIFIED&quot;,&quot;total_offer_discount&quot;:35.8,&quot;discount_share&quot;:{&quot;swiggy_discount&quot;:7.16,&quot;store_discount&quot;:28.64,&quot;alliance_discount&quot;:0},&quot;discount_type&quot;:&quot;PERCENTAGE&quot;,&quot;description&quot;:&quot;20% off&quot;,&quot;fixed_charges&quot;:{&quot;gp&quot;:{&quot;id&quot;:&quot;&quot;,&quot;final_price&quot;:0}}}]"/>
    <x v="106"/>
    <m/>
    <n v="21191609"/>
    <x v="0"/>
    <s v="[Record]"/>
    <n v="660675"/>
    <x v="41"/>
    <s v="No. 146, 5th Block, Koramangala, Bangalore, BTM Layout , B.B.M.P South, Karnataka-560095"/>
    <s v="5th Block Kormangala"/>
    <s v="Bangalore"/>
    <n v="1734"/>
    <x v="89"/>
    <n v="170"/>
    <n v="170"/>
    <n v="179"/>
    <n v="47"/>
    <n v="0"/>
    <s v="12.933842204939534,77.61976898008312"/>
    <n v="6"/>
    <s v="TRYNEW"/>
    <s v="UPIIntent"/>
    <s v="Koramangala"/>
    <x v="1"/>
    <n v="0"/>
    <x v="84"/>
    <x v="7"/>
    <s v="Cafe Amudham"/>
    <n v="12.9338422049395"/>
    <n v="77.6197689800830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75244332362622"/>
    <x v="0"/>
    <n v="0"/>
    <n v="1"/>
    <x v="0"/>
  </r>
  <r>
    <n v="175167017704058"/>
    <x v="1"/>
    <n v="0"/>
    <n v="1"/>
    <x v="0"/>
  </r>
  <r>
    <n v="175167017704058"/>
    <x v="2"/>
    <n v="0"/>
    <n v="1"/>
    <x v="0"/>
  </r>
  <r>
    <n v="175017114796029"/>
    <x v="3"/>
    <n v="0"/>
    <n v="1"/>
    <x v="0"/>
  </r>
  <r>
    <n v="175017114796029"/>
    <x v="4"/>
    <n v="1"/>
    <n v="1"/>
    <x v="1"/>
  </r>
  <r>
    <n v="174973046023416"/>
    <x v="5"/>
    <n v="1"/>
    <n v="1"/>
    <x v="1"/>
  </r>
  <r>
    <n v="174973046023416"/>
    <x v="6"/>
    <n v="1"/>
    <n v="1"/>
    <x v="1"/>
  </r>
  <r>
    <n v="174906705849277"/>
    <x v="7"/>
    <n v="0"/>
    <n v="1"/>
    <x v="0"/>
  </r>
  <r>
    <n v="174906705849277"/>
    <x v="8"/>
    <n v="1"/>
    <n v="1"/>
    <x v="1"/>
  </r>
  <r>
    <n v="174329455765789"/>
    <x v="9"/>
    <n v="1"/>
    <n v="1"/>
    <x v="1"/>
  </r>
  <r>
    <n v="174329455765789"/>
    <x v="10"/>
    <n v="0"/>
    <n v="1"/>
    <x v="0"/>
  </r>
  <r>
    <n v="174318296922309"/>
    <x v="11"/>
    <n v="1"/>
    <n v="1"/>
    <x v="1"/>
  </r>
  <r>
    <n v="174318296922309"/>
    <x v="12"/>
    <n v="1"/>
    <n v="1"/>
    <x v="1"/>
  </r>
  <r>
    <n v="174118005152904"/>
    <x v="13"/>
    <n v="0"/>
    <n v="1"/>
    <x v="0"/>
  </r>
  <r>
    <n v="174075356745024"/>
    <x v="14"/>
    <n v="0"/>
    <n v="1"/>
    <x v="0"/>
  </r>
  <r>
    <n v="174075356745024"/>
    <x v="15"/>
    <n v="1"/>
    <n v="1"/>
    <x v="1"/>
  </r>
  <r>
    <n v="174067299373268"/>
    <x v="15"/>
    <n v="1"/>
    <n v="1"/>
    <x v="1"/>
  </r>
  <r>
    <n v="174067299373268"/>
    <x v="16"/>
    <n v="0"/>
    <n v="1"/>
    <x v="0"/>
  </r>
  <r>
    <n v="174058332503576"/>
    <x v="17"/>
    <n v="0"/>
    <n v="1"/>
    <x v="0"/>
  </r>
  <r>
    <n v="174037702433562"/>
    <x v="18"/>
    <n v="0"/>
    <n v="1"/>
    <x v="0"/>
  </r>
  <r>
    <n v="174026206595017"/>
    <x v="6"/>
    <n v="1"/>
    <n v="1"/>
    <x v="1"/>
  </r>
  <r>
    <n v="173972919485563"/>
    <x v="0"/>
    <n v="0"/>
    <n v="1"/>
    <x v="0"/>
  </r>
  <r>
    <n v="173961191807457"/>
    <x v="19"/>
    <n v="0"/>
    <n v="1"/>
    <x v="0"/>
  </r>
  <r>
    <n v="173961191807457"/>
    <x v="20"/>
    <n v="0"/>
    <n v="1"/>
    <x v="0"/>
  </r>
  <r>
    <n v="173953404362535"/>
    <x v="7"/>
    <n v="0"/>
    <n v="1"/>
    <x v="0"/>
  </r>
  <r>
    <n v="173953404362535"/>
    <x v="8"/>
    <n v="1"/>
    <n v="1"/>
    <x v="1"/>
  </r>
  <r>
    <n v="173934793528823"/>
    <x v="6"/>
    <n v="1"/>
    <n v="1"/>
    <x v="1"/>
  </r>
  <r>
    <n v="173886476249693"/>
    <x v="6"/>
    <n v="1"/>
    <n v="1"/>
    <x v="1"/>
  </r>
  <r>
    <n v="173886476249693"/>
    <x v="21"/>
    <n v="1"/>
    <n v="1"/>
    <x v="1"/>
  </r>
  <r>
    <n v="173848012476255"/>
    <x v="6"/>
    <n v="1"/>
    <n v="1"/>
    <x v="1"/>
  </r>
  <r>
    <n v="173848012476255"/>
    <x v="22"/>
    <n v="1"/>
    <n v="1"/>
    <x v="1"/>
  </r>
  <r>
    <n v="173787961265182"/>
    <x v="23"/>
    <n v="1"/>
    <n v="1"/>
    <x v="1"/>
  </r>
  <r>
    <n v="173787961265182"/>
    <x v="24"/>
    <n v="0"/>
    <n v="1"/>
    <x v="0"/>
  </r>
  <r>
    <n v="173787961265182"/>
    <x v="17"/>
    <n v="0"/>
    <n v="1"/>
    <x v="0"/>
  </r>
  <r>
    <n v="173627120783219"/>
    <x v="25"/>
    <n v="0"/>
    <n v="1"/>
    <x v="0"/>
  </r>
  <r>
    <n v="173528899495632"/>
    <x v="12"/>
    <n v="1"/>
    <n v="1"/>
    <x v="1"/>
  </r>
  <r>
    <n v="173528899495632"/>
    <x v="0"/>
    <n v="0"/>
    <n v="2"/>
    <x v="0"/>
  </r>
  <r>
    <n v="173508364352211"/>
    <x v="26"/>
    <n v="1"/>
    <n v="1"/>
    <x v="1"/>
  </r>
  <r>
    <n v="173508364352211"/>
    <x v="27"/>
    <n v="1"/>
    <n v="2"/>
    <x v="1"/>
  </r>
  <r>
    <n v="173162395766364"/>
    <x v="5"/>
    <n v="1"/>
    <n v="2"/>
    <x v="1"/>
  </r>
  <r>
    <n v="173162395766364"/>
    <x v="27"/>
    <n v="1"/>
    <n v="1"/>
    <x v="1"/>
  </r>
  <r>
    <n v="173162271836174"/>
    <x v="27"/>
    <n v="1"/>
    <n v="1"/>
    <x v="1"/>
  </r>
  <r>
    <n v="173162271836174"/>
    <x v="5"/>
    <n v="1"/>
    <n v="2"/>
    <x v="1"/>
  </r>
  <r>
    <n v="173021459533483"/>
    <x v="28"/>
    <n v="0"/>
    <n v="1"/>
    <x v="0"/>
  </r>
  <r>
    <n v="172937451496694"/>
    <x v="29"/>
    <n v="0"/>
    <n v="1"/>
    <x v="0"/>
  </r>
  <r>
    <n v="172865582370674"/>
    <x v="30"/>
    <n v="1"/>
    <n v="1"/>
    <x v="1"/>
  </r>
  <r>
    <n v="172849812190412"/>
    <x v="7"/>
    <n v="0"/>
    <n v="1"/>
    <x v="0"/>
  </r>
  <r>
    <n v="172765721740638"/>
    <x v="31"/>
    <n v="0"/>
    <n v="1"/>
    <x v="0"/>
  </r>
  <r>
    <n v="172765721740638"/>
    <x v="32"/>
    <n v="0"/>
    <n v="1"/>
    <x v="0"/>
  </r>
  <r>
    <n v="172415621290914"/>
    <x v="32"/>
    <n v="0"/>
    <n v="1"/>
    <x v="0"/>
  </r>
  <r>
    <n v="171120236353593"/>
    <x v="32"/>
    <n v="0"/>
    <n v="1"/>
    <x v="0"/>
  </r>
  <r>
    <n v="170949181342493"/>
    <x v="32"/>
    <n v="0"/>
    <n v="1"/>
    <x v="0"/>
  </r>
  <r>
    <n v="170849767634192"/>
    <x v="32"/>
    <n v="0"/>
    <n v="1"/>
    <x v="0"/>
  </r>
  <r>
    <n v="170326417874188"/>
    <x v="33"/>
    <n v="0"/>
    <n v="1"/>
    <x v="0"/>
  </r>
  <r>
    <n v="169997934599848"/>
    <x v="33"/>
    <n v="0"/>
    <n v="1"/>
    <x v="0"/>
  </r>
  <r>
    <n v="169997934599848"/>
    <x v="34"/>
    <n v="0"/>
    <n v="1"/>
    <x v="0"/>
  </r>
  <r>
    <n v="169054716176265"/>
    <x v="33"/>
    <n v="0"/>
    <n v="1"/>
    <x v="0"/>
  </r>
  <r>
    <n v="168959031219038"/>
    <x v="34"/>
    <n v="0"/>
    <n v="1"/>
    <x v="0"/>
  </r>
  <r>
    <n v="168877172918547"/>
    <x v="35"/>
    <n v="0"/>
    <n v="1"/>
    <x v="0"/>
  </r>
  <r>
    <n v="168622214022977"/>
    <x v="34"/>
    <n v="0"/>
    <n v="1"/>
    <x v="0"/>
  </r>
  <r>
    <n v="168513609258675"/>
    <x v="2"/>
    <n v="0"/>
    <n v="1"/>
    <x v="0"/>
  </r>
  <r>
    <n v="168513609258675"/>
    <x v="36"/>
    <n v="0"/>
    <n v="1"/>
    <x v="0"/>
  </r>
  <r>
    <n v="168438354785516"/>
    <x v="9"/>
    <n v="1"/>
    <n v="1"/>
    <x v="1"/>
  </r>
  <r>
    <n v="168293863851738"/>
    <x v="37"/>
    <n v="1"/>
    <n v="1"/>
    <x v="1"/>
  </r>
  <r>
    <n v="168293863851738"/>
    <x v="38"/>
    <n v="1"/>
    <n v="1"/>
    <x v="1"/>
  </r>
  <r>
    <n v="168028113662672"/>
    <x v="39"/>
    <n v="0"/>
    <n v="1"/>
    <x v="0"/>
  </r>
  <r>
    <n v="168013539245633"/>
    <x v="34"/>
    <n v="0"/>
    <n v="1"/>
    <x v="0"/>
  </r>
  <r>
    <n v="167927988529759"/>
    <x v="39"/>
    <n v="0"/>
    <n v="1"/>
    <x v="0"/>
  </r>
  <r>
    <n v="167230102604894"/>
    <x v="40"/>
    <n v="0"/>
    <n v="1"/>
    <x v="0"/>
  </r>
  <r>
    <n v="167230102604894"/>
    <x v="41"/>
    <n v="0"/>
    <n v="1"/>
    <x v="0"/>
  </r>
  <r>
    <n v="167065261006312"/>
    <x v="42"/>
    <n v="0"/>
    <n v="1"/>
    <x v="0"/>
  </r>
  <r>
    <n v="167041647226680"/>
    <x v="34"/>
    <n v="0"/>
    <n v="1"/>
    <x v="0"/>
  </r>
  <r>
    <n v="166952305677312"/>
    <x v="43"/>
    <n v="1"/>
    <n v="1"/>
    <x v="1"/>
  </r>
  <r>
    <n v="166803724653459"/>
    <x v="44"/>
    <n v="0"/>
    <n v="1"/>
    <x v="0"/>
  </r>
  <r>
    <n v="165960896748502"/>
    <x v="45"/>
    <n v="1"/>
    <n v="1"/>
    <x v="1"/>
  </r>
  <r>
    <n v="165960896748502"/>
    <x v="46"/>
    <n v="1"/>
    <n v="1"/>
    <x v="1"/>
  </r>
  <r>
    <n v="165923274381702"/>
    <x v="47"/>
    <n v="0"/>
    <n v="1"/>
    <x v="0"/>
  </r>
  <r>
    <n v="165854296189400"/>
    <x v="39"/>
    <n v="0"/>
    <n v="1"/>
    <x v="0"/>
  </r>
  <r>
    <n v="165409130967084"/>
    <x v="39"/>
    <n v="0"/>
    <n v="1"/>
    <x v="0"/>
  </r>
  <r>
    <n v="165341581288776"/>
    <x v="48"/>
    <n v="1"/>
    <n v="1"/>
    <x v="1"/>
  </r>
  <r>
    <n v="164743294943602"/>
    <x v="49"/>
    <n v="1"/>
    <n v="1"/>
    <x v="1"/>
  </r>
  <r>
    <n v="164743294943602"/>
    <x v="49"/>
    <n v="1"/>
    <n v="1"/>
    <x v="1"/>
  </r>
  <r>
    <n v="164714296625099"/>
    <x v="39"/>
    <n v="0"/>
    <n v="1"/>
    <x v="0"/>
  </r>
  <r>
    <n v="164376172877898"/>
    <x v="50"/>
    <n v="0"/>
    <n v="1"/>
    <x v="0"/>
  </r>
  <r>
    <n v="164376172877898"/>
    <x v="43"/>
    <n v="1"/>
    <n v="1"/>
    <x v="1"/>
  </r>
  <r>
    <n v="164376172877898"/>
    <x v="51"/>
    <n v="0"/>
    <n v="1"/>
    <x v="0"/>
  </r>
  <r>
    <n v="164376027513893"/>
    <x v="51"/>
    <n v="0"/>
    <n v="1"/>
    <x v="0"/>
  </r>
  <r>
    <n v="164376027513893"/>
    <x v="43"/>
    <n v="1"/>
    <n v="1"/>
    <x v="1"/>
  </r>
  <r>
    <n v="164191765873335"/>
    <x v="52"/>
    <n v="0"/>
    <n v="1"/>
    <x v="0"/>
  </r>
  <r>
    <n v="164191765873335"/>
    <x v="53"/>
    <n v="1"/>
    <n v="1"/>
    <x v="1"/>
  </r>
  <r>
    <n v="163711888473406"/>
    <x v="54"/>
    <n v="1"/>
    <n v="1"/>
    <x v="1"/>
  </r>
  <r>
    <n v="163004675209983"/>
    <x v="40"/>
    <n v="0"/>
    <n v="1"/>
    <x v="0"/>
  </r>
  <r>
    <n v="163004675209983"/>
    <x v="41"/>
    <n v="0"/>
    <n v="1"/>
    <x v="0"/>
  </r>
  <r>
    <n v="163004361179135"/>
    <x v="9"/>
    <n v="1"/>
    <n v="1"/>
    <x v="1"/>
  </r>
  <r>
    <n v="162553743923962"/>
    <x v="55"/>
    <n v="0"/>
    <n v="1"/>
    <x v="0"/>
  </r>
  <r>
    <n v="162553743923962"/>
    <x v="56"/>
    <n v="0"/>
    <n v="1"/>
    <x v="0"/>
  </r>
  <r>
    <n v="162461263812077"/>
    <x v="56"/>
    <n v="0"/>
    <n v="1"/>
    <x v="0"/>
  </r>
  <r>
    <n v="161080636531967"/>
    <x v="57"/>
    <n v="0"/>
    <n v="1"/>
    <x v="0"/>
  </r>
  <r>
    <n v="160474594456670"/>
    <x v="58"/>
    <n v="0"/>
    <n v="1"/>
    <x v="0"/>
  </r>
  <r>
    <n v="159955886050893"/>
    <x v="59"/>
    <n v="0"/>
    <n v="1"/>
    <x v="0"/>
  </r>
  <r>
    <n v="159955886050893"/>
    <x v="60"/>
    <n v="1"/>
    <n v="3"/>
    <x v="1"/>
  </r>
  <r>
    <n v="159700431113615"/>
    <x v="61"/>
    <n v="1"/>
    <n v="1"/>
    <x v="1"/>
  </r>
  <r>
    <n v="159700431113615"/>
    <x v="62"/>
    <n v="1"/>
    <n v="1"/>
    <x v="1"/>
  </r>
  <r>
    <n v="159024606634682"/>
    <x v="60"/>
    <n v="1"/>
    <n v="2"/>
    <x v="1"/>
  </r>
  <r>
    <n v="159024606634682"/>
    <x v="63"/>
    <n v="1"/>
    <n v="2"/>
    <x v="1"/>
  </r>
  <r>
    <n v="159024606634682"/>
    <x v="64"/>
    <n v="1"/>
    <n v="1"/>
    <x v="1"/>
  </r>
  <r>
    <n v="159024606634682"/>
    <x v="64"/>
    <n v="1"/>
    <n v="1"/>
    <x v="1"/>
  </r>
  <r>
    <n v="159024606634682"/>
    <x v="65"/>
    <n v="0"/>
    <n v="1"/>
    <x v="0"/>
  </r>
  <r>
    <n v="158421216354293"/>
    <x v="66"/>
    <n v="0"/>
    <n v="1"/>
    <x v="0"/>
  </r>
  <r>
    <n v="158421216354293"/>
    <x v="67"/>
    <n v="0"/>
    <n v="1"/>
    <x v="0"/>
  </r>
  <r>
    <n v="158334414702466"/>
    <x v="29"/>
    <n v="0"/>
    <n v="1"/>
    <x v="0"/>
  </r>
  <r>
    <n v="158133339719955"/>
    <x v="32"/>
    <n v="0"/>
    <n v="1"/>
    <x v="0"/>
  </r>
  <r>
    <n v="158078123542130"/>
    <x v="68"/>
    <n v="0"/>
    <n v="1"/>
    <x v="0"/>
  </r>
  <r>
    <n v="158041541026826"/>
    <x v="69"/>
    <n v="0"/>
    <n v="1"/>
    <x v="0"/>
  </r>
  <r>
    <n v="157279336071863"/>
    <x v="70"/>
    <n v="0"/>
    <n v="1"/>
    <x v="0"/>
  </r>
  <r>
    <n v="157212479386394"/>
    <x v="71"/>
    <n v="0"/>
    <n v="1"/>
    <x v="0"/>
  </r>
  <r>
    <n v="157095860714592"/>
    <x v="72"/>
    <n v="1"/>
    <n v="1"/>
    <x v="1"/>
  </r>
  <r>
    <n v="157095860714592"/>
    <x v="52"/>
    <n v="0"/>
    <n v="1"/>
    <x v="0"/>
  </r>
  <r>
    <n v="156956128612767"/>
    <x v="73"/>
    <n v="1"/>
    <n v="1"/>
    <x v="1"/>
  </r>
  <r>
    <n v="156956128612767"/>
    <x v="70"/>
    <n v="0"/>
    <n v="1"/>
    <x v="0"/>
  </r>
  <r>
    <n v="156923241346336"/>
    <x v="59"/>
    <n v="0"/>
    <n v="1"/>
    <x v="0"/>
  </r>
  <r>
    <n v="156923241346336"/>
    <x v="74"/>
    <n v="1"/>
    <n v="1"/>
    <x v="1"/>
  </r>
  <r>
    <n v="156923241346336"/>
    <x v="63"/>
    <n v="1"/>
    <n v="2"/>
    <x v="1"/>
  </r>
  <r>
    <n v="156923241346336"/>
    <x v="60"/>
    <n v="1"/>
    <n v="1"/>
    <x v="1"/>
  </r>
  <r>
    <n v="156864275866899"/>
    <x v="60"/>
    <n v="1"/>
    <n v="3"/>
    <x v="1"/>
  </r>
  <r>
    <n v="156864275866899"/>
    <x v="75"/>
    <n v="0"/>
    <n v="1"/>
    <x v="0"/>
  </r>
  <r>
    <n v="156652104418064"/>
    <x v="76"/>
    <n v="1"/>
    <n v="1"/>
    <x v="1"/>
  </r>
  <r>
    <n v="156652104418064"/>
    <x v="77"/>
    <n v="1"/>
    <n v="1"/>
    <x v="1"/>
  </r>
  <r>
    <n v="156652104418064"/>
    <x v="78"/>
    <n v="1"/>
    <n v="1"/>
    <x v="1"/>
  </r>
  <r>
    <n v="155826395288522"/>
    <x v="79"/>
    <n v="0"/>
    <n v="1"/>
    <x v="0"/>
  </r>
  <r>
    <n v="154933952448406"/>
    <x v="72"/>
    <n v="1"/>
    <n v="1"/>
    <x v="1"/>
  </r>
  <r>
    <n v="154933952448406"/>
    <x v="80"/>
    <n v="0"/>
    <n v="1"/>
    <x v="0"/>
  </r>
  <r>
    <n v="154933952448406"/>
    <x v="53"/>
    <n v="1"/>
    <n v="1"/>
    <x v="1"/>
  </r>
  <r>
    <n v="178713153585"/>
    <x v="64"/>
    <n v="1"/>
    <n v="1"/>
    <x v="1"/>
  </r>
  <r>
    <n v="178713153585"/>
    <x v="81"/>
    <n v="0"/>
    <n v="1"/>
    <x v="0"/>
  </r>
  <r>
    <n v="178539970232"/>
    <x v="82"/>
    <n v="1"/>
    <n v="1"/>
    <x v="1"/>
  </r>
  <r>
    <n v="178180906036"/>
    <x v="79"/>
    <n v="0"/>
    <n v="1"/>
    <x v="0"/>
  </r>
  <r>
    <n v="178180906036"/>
    <x v="83"/>
    <n v="0"/>
    <n v="1"/>
    <x v="0"/>
  </r>
  <r>
    <n v="178090781440"/>
    <x v="69"/>
    <n v="0"/>
    <n v="1"/>
    <x v="0"/>
  </r>
  <r>
    <n v="177591184372"/>
    <x v="58"/>
    <n v="0"/>
    <n v="1"/>
    <x v="0"/>
  </r>
  <r>
    <n v="177445532607"/>
    <x v="84"/>
    <n v="0"/>
    <n v="1"/>
    <x v="0"/>
  </r>
  <r>
    <n v="177445532607"/>
    <x v="85"/>
    <n v="1"/>
    <n v="1"/>
    <x v="1"/>
  </r>
  <r>
    <n v="177445532607"/>
    <x v="86"/>
    <n v="0"/>
    <n v="1"/>
    <x v="0"/>
  </r>
  <r>
    <n v="177445532607"/>
    <x v="87"/>
    <n v="0"/>
    <n v="1"/>
    <x v="0"/>
  </r>
  <r>
    <n v="177265186487"/>
    <x v="88"/>
    <n v="0"/>
    <n v="1"/>
    <x v="0"/>
  </r>
  <r>
    <n v="177265186487"/>
    <x v="89"/>
    <n v="0"/>
    <n v="1"/>
    <x v="0"/>
  </r>
  <r>
    <n v="177265186487"/>
    <x v="90"/>
    <n v="0"/>
    <n v="1"/>
    <x v="0"/>
  </r>
  <r>
    <n v="177265186487"/>
    <x v="84"/>
    <n v="0"/>
    <n v="1"/>
    <x v="0"/>
  </r>
  <r>
    <n v="176793394432"/>
    <x v="91"/>
    <n v="1"/>
    <n v="1"/>
    <x v="1"/>
  </r>
  <r>
    <n v="176793394432"/>
    <x v="92"/>
    <n v="1"/>
    <n v="1"/>
    <x v="1"/>
  </r>
  <r>
    <n v="176745115332"/>
    <x v="9"/>
    <n v="1"/>
    <n v="1"/>
    <x v="1"/>
  </r>
  <r>
    <n v="176716772573"/>
    <x v="93"/>
    <n v="0"/>
    <n v="1"/>
    <x v="0"/>
  </r>
  <r>
    <n v="176451044220"/>
    <x v="94"/>
    <n v="0"/>
    <n v="1"/>
    <x v="0"/>
  </r>
  <r>
    <n v="176221057630"/>
    <x v="95"/>
    <n v="0"/>
    <n v="1"/>
    <x v="0"/>
  </r>
  <r>
    <n v="175968970700"/>
    <x v="96"/>
    <n v="1"/>
    <n v="2"/>
    <x v="1"/>
  </r>
  <r>
    <n v="175192473312"/>
    <x v="97"/>
    <n v="0"/>
    <n v="1"/>
    <x v="0"/>
  </r>
  <r>
    <n v="175192473312"/>
    <x v="98"/>
    <n v="0"/>
    <n v="1"/>
    <x v="0"/>
  </r>
  <r>
    <n v="174983850554"/>
    <x v="99"/>
    <n v="0"/>
    <n v="1"/>
    <x v="0"/>
  </r>
  <r>
    <n v="174983850554"/>
    <x v="100"/>
    <n v="0"/>
    <n v="1"/>
    <x v="0"/>
  </r>
  <r>
    <n v="174983850554"/>
    <x v="101"/>
    <n v="0"/>
    <n v="1"/>
    <x v="0"/>
  </r>
  <r>
    <n v="174647551706"/>
    <x v="102"/>
    <n v="1"/>
    <n v="1"/>
    <x v="1"/>
  </r>
  <r>
    <n v="174647551706"/>
    <x v="103"/>
    <n v="1"/>
    <n v="1"/>
    <x v="1"/>
  </r>
  <r>
    <n v="174644435956"/>
    <x v="93"/>
    <n v="0"/>
    <n v="1"/>
    <x v="0"/>
  </r>
  <r>
    <n v="174559415025"/>
    <x v="104"/>
    <n v="0"/>
    <n v="1"/>
    <x v="0"/>
  </r>
  <r>
    <n v="174376605060"/>
    <x v="105"/>
    <n v="0"/>
    <n v="1"/>
    <x v="0"/>
  </r>
  <r>
    <n v="174376605060"/>
    <x v="106"/>
    <n v="0"/>
    <n v="1"/>
    <x v="0"/>
  </r>
  <r>
    <n v="172557699296"/>
    <x v="107"/>
    <n v="1"/>
    <n v="1"/>
    <x v="1"/>
  </r>
  <r>
    <n v="171953923401"/>
    <x v="108"/>
    <n v="0"/>
    <n v="1"/>
    <x v="0"/>
  </r>
  <r>
    <n v="171953923401"/>
    <x v="109"/>
    <n v="0"/>
    <n v="1"/>
    <x v="0"/>
  </r>
  <r>
    <n v="171863054117"/>
    <x v="107"/>
    <n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8F34-7E57-4D12-8687-0F5733ABED8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rea Codes">
  <location ref="B3:C17" firstHeaderRow="1" firstDataRow="1" firstDataCol="1"/>
  <pivotFields count="36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6"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3"/>
        <item x="6"/>
        <item x="11"/>
        <item x="2"/>
        <item x="9"/>
        <item x="10"/>
        <item x="4"/>
        <item x="12"/>
        <item x="1"/>
        <item x="0"/>
        <item x="7"/>
        <item x="5"/>
        <item x="8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Orders" fld="0" subtotal="count" baseField="29" baseItem="2"/>
  </dataField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1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9" count="1" selected="0">
            <x v="6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9" count="1" selected="0">
            <x v="8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9" count="1" selected="0">
            <x v="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9" count="1" selected="0">
            <x v="1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9" count="1" selected="0">
            <x v="1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29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4FA8C-3A38-44D1-875C-E5F3DC43288F}" name="PivotTable3" cacheId="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B21:D35" firstHeaderRow="1" firstDataRow="1" firstDataCol="2"/>
  <pivotFields count="3">
    <pivotField name="Area Codes"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Food item" axis="axisRow" compact="0" allDrilled="1" outline="0" subtotalTop="0" showAll="0" measureFilter="1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2">
    <field x="0"/>
    <field x="1"/>
  </rowFields>
  <rowItems count="14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 t="grand">
      <x/>
    </i>
  </rowItems>
  <colItems count="1">
    <i/>
  </colItems>
  <dataFields count="1">
    <dataField name="Total Orders" fld="2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8"/>
          </reference>
          <reference field="1" count="1">
            <x v="8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9"/>
          </reference>
          <reference field="1" count="1">
            <x v="9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10"/>
          </reference>
          <reference field="1" count="1">
            <x v="10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11"/>
          </reference>
          <reference field="1" count="1">
            <x v="11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12"/>
          </reference>
          <reference field="1" count="1">
            <x v="12"/>
          </reference>
        </references>
      </pivotArea>
    </format>
    <format dxfId="0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</pivotHierarchies>
  <pivotTableStyleInfo name="PivotStyleLight16" showRowHeaders="1" showColHeaders="1" showRowStripes="0" showColStripes="0" showLastColumn="1"/>
  <filters count="1">
    <filter fld="1" type="count" id="1" iMeasureHier="45">
      <autoFilter ref="A1">
        <filterColumn colId="0">
          <top10 val="1" filterVal="1"/>
        </filterColumn>
      </autoFilter>
    </filter>
  </filters>
  <rowHierarchiesUsage count="2">
    <rowHierarchyUsage hierarchyUsage="34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wiggy_Orders_Data]"/>
        <x15:activeTabTopLevelEntity name="[Food Item Level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05E98-DD8B-458E-8B42-1FB5C33A6D68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8" rowHeaderCaption="Months">
  <location ref="B6:C12" firstHeaderRow="1" firstDataRow="1" firstDataCol="1"/>
  <pivotFields count="36">
    <pivotField numFmtId="1" showAll="0"/>
    <pivotField showAll="0"/>
    <pivotField showAll="0"/>
    <pivotField showAll="0"/>
    <pivotField showAll="0">
      <items count="108"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44">
        <item x="30"/>
        <item x="18"/>
        <item x="14"/>
        <item x="23"/>
        <item x="41"/>
        <item x="10"/>
        <item x="5"/>
        <item x="19"/>
        <item x="27"/>
        <item x="34"/>
        <item x="4"/>
        <item x="39"/>
        <item x="11"/>
        <item x="9"/>
        <item x="32"/>
        <item x="31"/>
        <item x="36"/>
        <item x="29"/>
        <item x="38"/>
        <item x="40"/>
        <item x="12"/>
        <item x="8"/>
        <item x="22"/>
        <item x="6"/>
        <item x="1"/>
        <item x="17"/>
        <item x="21"/>
        <item x="0"/>
        <item x="33"/>
        <item x="3"/>
        <item x="16"/>
        <item x="13"/>
        <item x="15"/>
        <item x="42"/>
        <item x="24"/>
        <item x="20"/>
        <item x="25"/>
        <item x="2"/>
        <item x="28"/>
        <item x="37"/>
        <item x="7"/>
        <item x="35"/>
        <item x="26"/>
        <item t="default"/>
      </items>
    </pivotField>
    <pivotField showAll="0"/>
    <pivotField showAll="0"/>
    <pivotField showAll="0"/>
    <pivotField showAll="0"/>
    <pivotField dataField="1" showAll="0">
      <items count="91">
        <item x="42"/>
        <item x="0"/>
        <item x="32"/>
        <item x="79"/>
        <item x="64"/>
        <item x="89"/>
        <item x="85"/>
        <item x="87"/>
        <item x="68"/>
        <item x="73"/>
        <item x="62"/>
        <item x="41"/>
        <item x="23"/>
        <item x="36"/>
        <item x="18"/>
        <item x="59"/>
        <item x="43"/>
        <item x="69"/>
        <item x="44"/>
        <item x="14"/>
        <item x="74"/>
        <item x="30"/>
        <item x="28"/>
        <item x="67"/>
        <item x="49"/>
        <item x="11"/>
        <item x="72"/>
        <item x="56"/>
        <item x="60"/>
        <item x="66"/>
        <item x="63"/>
        <item x="65"/>
        <item x="25"/>
        <item x="31"/>
        <item x="37"/>
        <item x="26"/>
        <item x="10"/>
        <item x="61"/>
        <item x="12"/>
        <item x="38"/>
        <item x="50"/>
        <item x="24"/>
        <item x="7"/>
        <item x="55"/>
        <item x="54"/>
        <item x="78"/>
        <item x="77"/>
        <item x="71"/>
        <item x="80"/>
        <item x="53"/>
        <item x="58"/>
        <item x="2"/>
        <item x="9"/>
        <item x="16"/>
        <item x="20"/>
        <item x="83"/>
        <item x="3"/>
        <item x="6"/>
        <item x="57"/>
        <item x="34"/>
        <item x="51"/>
        <item x="82"/>
        <item x="15"/>
        <item x="21"/>
        <item x="81"/>
        <item x="13"/>
        <item x="84"/>
        <item x="33"/>
        <item x="70"/>
        <item x="1"/>
        <item x="4"/>
        <item x="35"/>
        <item x="46"/>
        <item x="29"/>
        <item x="45"/>
        <item x="8"/>
        <item x="86"/>
        <item x="22"/>
        <item x="39"/>
        <item x="17"/>
        <item x="19"/>
        <item x="27"/>
        <item x="52"/>
        <item x="40"/>
        <item x="48"/>
        <item x="47"/>
        <item x="5"/>
        <item x="88"/>
        <item x="75"/>
        <item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6"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10"/>
  </rowFields>
  <rowItems count="6">
    <i>
      <x v="6"/>
    </i>
    <i>
      <x v="28"/>
    </i>
    <i>
      <x v="29"/>
    </i>
    <i>
      <x v="31"/>
    </i>
    <i>
      <x v="37"/>
    </i>
    <i t="grand">
      <x/>
    </i>
  </rowItems>
  <colItems count="1">
    <i/>
  </colItems>
  <dataFields count="1">
    <dataField name="Sum of order_total" fld="15" baseField="0" baseItem="0"/>
  </dataFields>
  <chartFormats count="2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E0E8A-7E10-4BD6-93FF-3E1128345D03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ood items">
  <location ref="B3:C5" firstHeaderRow="1" firstDataRow="1" firstDataCol="1"/>
  <pivotFields count="5">
    <pivotField dataField="1" numFmtId="1" showAll="0"/>
    <pivotField axis="axisRow" showAll="0" measureFilter="1" sortType="descending">
      <items count="111">
        <item x="84"/>
        <item x="53"/>
        <item x="104"/>
        <item x="63"/>
        <item x="4"/>
        <item x="34"/>
        <item x="5"/>
        <item x="96"/>
        <item x="102"/>
        <item x="30"/>
        <item x="54"/>
        <item x="87"/>
        <item x="41"/>
        <item x="79"/>
        <item x="85"/>
        <item x="12"/>
        <item x="92"/>
        <item x="68"/>
        <item x="81"/>
        <item x="66"/>
        <item x="31"/>
        <item x="67"/>
        <item x="10"/>
        <item x="52"/>
        <item x="7"/>
        <item x="80"/>
        <item x="97"/>
        <item x="36"/>
        <item x="101"/>
        <item x="59"/>
        <item x="65"/>
        <item x="91"/>
        <item x="43"/>
        <item x="15"/>
        <item x="62"/>
        <item x="106"/>
        <item x="76"/>
        <item x="8"/>
        <item x="90"/>
        <item x="108"/>
        <item x="20"/>
        <item x="6"/>
        <item x="69"/>
        <item x="37"/>
        <item x="88"/>
        <item x="86"/>
        <item x="73"/>
        <item x="72"/>
        <item x="70"/>
        <item x="35"/>
        <item x="71"/>
        <item x="100"/>
        <item x="29"/>
        <item x="60"/>
        <item x="78"/>
        <item x="95"/>
        <item x="109"/>
        <item x="17"/>
        <item x="47"/>
        <item x="77"/>
        <item x="75"/>
        <item x="39"/>
        <item x="48"/>
        <item x="0"/>
        <item x="27"/>
        <item x="22"/>
        <item x="16"/>
        <item x="45"/>
        <item x="3"/>
        <item x="2"/>
        <item x="49"/>
        <item x="105"/>
        <item x="74"/>
        <item x="23"/>
        <item x="40"/>
        <item x="51"/>
        <item x="38"/>
        <item x="11"/>
        <item x="107"/>
        <item x="89"/>
        <item x="14"/>
        <item x="98"/>
        <item x="56"/>
        <item x="61"/>
        <item x="103"/>
        <item x="18"/>
        <item x="42"/>
        <item x="83"/>
        <item x="25"/>
        <item x="26"/>
        <item x="19"/>
        <item x="33"/>
        <item x="99"/>
        <item x="50"/>
        <item x="46"/>
        <item x="32"/>
        <item x="21"/>
        <item x="94"/>
        <item x="13"/>
        <item x="58"/>
        <item x="82"/>
        <item x="1"/>
        <item x="57"/>
        <item x="44"/>
        <item x="64"/>
        <item x="24"/>
        <item x="93"/>
        <item x="55"/>
        <item x="9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"/>
  </rowFields>
  <rowItems count="2">
    <i>
      <x v="95"/>
    </i>
    <i t="grand">
      <x/>
    </i>
  </rowItems>
  <colItems count="1">
    <i/>
  </colItems>
  <dataFields count="1">
    <dataField name="Total Orders" fld="0" subtotal="count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C38AC-48DF-4C28-9A3F-2C6E2E6C6906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n time Delivery?">
  <location ref="A10:B13" firstHeaderRow="1" firstDataRow="1" firstDataCol="1"/>
  <pivotFields count="36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>
      <items count="86"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6"/>
  </rowFields>
  <rowItems count="3">
    <i>
      <x/>
    </i>
    <i>
      <x v="1"/>
    </i>
    <i t="grand">
      <x/>
    </i>
  </rowItems>
  <colItems count="1">
    <i/>
  </colItems>
  <dataFields count="1">
    <dataField name="Total Orders" fld="0" subtotal="count" showDataAs="percentOfTotal" baseField="26" baseItem="0" numFmtId="1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8E854-C382-458C-9DDC-017FDAA9ACDE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ype of Food">
  <location ref="A3:B6" firstHeaderRow="1" firstDataRow="1" firstDataCol="1"/>
  <pivotFields count="5">
    <pivotField numFmtId="1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tal Orders" fld="4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67D2B-76D6-4DCF-BFB1-F7B40F7A514F}" name="Table1" displayName="Table1" ref="B4:C15" totalsRowShown="0">
  <autoFilter ref="B4:C15" xr:uid="{12567D2B-76D6-4DCF-BFB1-F7B40F7A514F}"/>
  <tableColumns count="2">
    <tableColumn id="1" xr3:uid="{21E9A936-B3E8-47D8-8697-1EFFF7D8C5CB}" name="month"/>
    <tableColumn id="2" xr3:uid="{FCB41AF7-7E1F-4D45-98DC-356F5396235E}" name="total_ord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0D20C6-3E1F-471C-8C72-E1C7BDF8F8A9}" name="Table2" displayName="Table2" ref="B4:C15" totalsRowShown="0">
  <autoFilter ref="B4:C15" xr:uid="{390D20C6-3E1F-471C-8C72-E1C7BDF8F8A9}"/>
  <tableColumns count="2">
    <tableColumn id="1" xr3:uid="{F39F51F6-2708-413A-80DB-AA89453EBBAF}" name="month"/>
    <tableColumn id="2" xr3:uid="{AA4ACE62-3DC1-4D49-A73F-A5DA7B79C0B0}" name="total_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1EA88-3991-43F8-989E-BEBE66178747}" name="Table3" displayName="Table3" ref="B4:C9" totalsRowShown="0">
  <autoFilter ref="B4:C9" xr:uid="{59C1EA88-3991-43F8-989E-BEBE66178747}"/>
  <tableColumns count="2">
    <tableColumn id="1" xr3:uid="{BD16914B-9212-4798-8C3C-65B1909AC259}" name="restaurant_name"/>
    <tableColumn id="2" xr3:uid="{CD254098-D79C-496D-BAC7-1B8658337586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3B94-A2FF-4E7B-BF88-800D40D3E0FA}">
  <dimension ref="B2:I66"/>
  <sheetViews>
    <sheetView zoomScaleNormal="100" workbookViewId="0">
      <selection activeCell="I10" sqref="I10"/>
    </sheetView>
  </sheetViews>
  <sheetFormatPr defaultRowHeight="13.8"/>
  <cols>
    <col min="2" max="2" width="18.19921875" customWidth="1"/>
  </cols>
  <sheetData>
    <row r="2" spans="2:9">
      <c r="B2" s="7" t="s">
        <v>647</v>
      </c>
    </row>
    <row r="4" spans="2:9">
      <c r="B4" s="7" t="s">
        <v>648</v>
      </c>
    </row>
    <row r="5" spans="2:9">
      <c r="B5" s="7"/>
      <c r="C5" t="s">
        <v>690</v>
      </c>
      <c r="H5" s="23" t="s">
        <v>710</v>
      </c>
    </row>
    <row r="6" spans="2:9">
      <c r="B6" s="7"/>
      <c r="C6" t="s">
        <v>691</v>
      </c>
      <c r="I6" t="s">
        <v>711</v>
      </c>
    </row>
    <row r="7" spans="2:9">
      <c r="B7" s="7"/>
      <c r="C7" t="s">
        <v>692</v>
      </c>
      <c r="I7" t="s">
        <v>712</v>
      </c>
    </row>
    <row r="8" spans="2:9">
      <c r="B8" s="7"/>
      <c r="C8" t="s">
        <v>693</v>
      </c>
      <c r="I8" t="s">
        <v>713</v>
      </c>
    </row>
    <row r="9" spans="2:9">
      <c r="B9" s="7"/>
      <c r="C9" t="s">
        <v>696</v>
      </c>
      <c r="I9" t="s">
        <v>714</v>
      </c>
    </row>
    <row r="10" spans="2:9">
      <c r="B10" s="7"/>
      <c r="C10" t="s">
        <v>694</v>
      </c>
      <c r="I10" t="s">
        <v>715</v>
      </c>
    </row>
    <row r="11" spans="2:9">
      <c r="B11" s="7"/>
      <c r="D11" t="s">
        <v>695</v>
      </c>
    </row>
    <row r="12" spans="2:9">
      <c r="B12" s="7"/>
      <c r="C12" t="s">
        <v>697</v>
      </c>
    </row>
    <row r="13" spans="2:9">
      <c r="B13" s="7"/>
      <c r="C13" t="s">
        <v>698</v>
      </c>
    </row>
    <row r="14" spans="2:9">
      <c r="B14" s="7"/>
      <c r="C14" t="s">
        <v>699</v>
      </c>
    </row>
    <row r="15" spans="2:9">
      <c r="B15" s="7"/>
      <c r="D15" t="s">
        <v>700</v>
      </c>
    </row>
    <row r="16" spans="2:9">
      <c r="B16" s="7"/>
      <c r="C16" t="s">
        <v>701</v>
      </c>
    </row>
    <row r="17" spans="2:4">
      <c r="B17" s="7"/>
      <c r="D17" t="s">
        <v>702</v>
      </c>
    </row>
    <row r="18" spans="2:4">
      <c r="B18" s="7"/>
      <c r="C18" t="s">
        <v>703</v>
      </c>
    </row>
    <row r="19" spans="2:4">
      <c r="B19" s="7"/>
      <c r="C19" t="s">
        <v>704</v>
      </c>
    </row>
    <row r="20" spans="2:4">
      <c r="B20" s="7"/>
      <c r="D20" t="s">
        <v>705</v>
      </c>
    </row>
    <row r="21" spans="2:4">
      <c r="B21" s="7"/>
      <c r="C21" t="s">
        <v>706</v>
      </c>
    </row>
    <row r="22" spans="2:4">
      <c r="B22" s="7"/>
      <c r="C22" t="s">
        <v>707</v>
      </c>
    </row>
    <row r="23" spans="2:4">
      <c r="B23" s="7"/>
      <c r="C23" t="s">
        <v>708</v>
      </c>
    </row>
    <row r="24" spans="2:4">
      <c r="B24" s="7"/>
      <c r="C24" t="s">
        <v>709</v>
      </c>
    </row>
    <row r="25" spans="2:4">
      <c r="B25" s="7"/>
      <c r="C25" t="s">
        <v>688</v>
      </c>
    </row>
    <row r="26" spans="2:4">
      <c r="B26" s="7"/>
    </row>
    <row r="27" spans="2:4">
      <c r="B27" s="7"/>
    </row>
    <row r="28" spans="2:4">
      <c r="B28" s="7"/>
    </row>
    <row r="29" spans="2:4">
      <c r="B29" s="7"/>
    </row>
    <row r="30" spans="2:4">
      <c r="B30" s="7"/>
    </row>
    <row r="31" spans="2:4">
      <c r="B31" s="7"/>
    </row>
    <row r="32" spans="2:4">
      <c r="B32" s="7"/>
    </row>
    <row r="33" spans="2:8">
      <c r="B33" s="7"/>
      <c r="C33" t="s">
        <v>671</v>
      </c>
      <c r="H33" t="s">
        <v>689</v>
      </c>
    </row>
    <row r="34" spans="2:8">
      <c r="B34" s="7"/>
      <c r="C34" t="s">
        <v>672</v>
      </c>
    </row>
    <row r="35" spans="2:8">
      <c r="B35" s="7"/>
      <c r="C35" t="s">
        <v>673</v>
      </c>
    </row>
    <row r="36" spans="2:8">
      <c r="B36" s="7"/>
      <c r="C36" t="s">
        <v>674</v>
      </c>
    </row>
    <row r="37" spans="2:8">
      <c r="B37" s="7"/>
      <c r="C37" t="s">
        <v>675</v>
      </c>
    </row>
    <row r="38" spans="2:8">
      <c r="B38" s="7"/>
      <c r="D38" t="s">
        <v>676</v>
      </c>
    </row>
    <row r="39" spans="2:8">
      <c r="B39" s="7"/>
      <c r="C39" t="s">
        <v>677</v>
      </c>
    </row>
    <row r="40" spans="2:8">
      <c r="B40" s="7"/>
      <c r="D40" t="s">
        <v>678</v>
      </c>
    </row>
    <row r="41" spans="2:8">
      <c r="B41" s="7"/>
      <c r="C41" t="s">
        <v>679</v>
      </c>
    </row>
    <row r="42" spans="2:8">
      <c r="B42" s="7"/>
      <c r="C42" t="s">
        <v>680</v>
      </c>
    </row>
    <row r="43" spans="2:8">
      <c r="B43" s="7"/>
      <c r="C43" t="s">
        <v>681</v>
      </c>
    </row>
    <row r="44" spans="2:8">
      <c r="B44" s="7"/>
      <c r="C44" t="s">
        <v>682</v>
      </c>
    </row>
    <row r="45" spans="2:8">
      <c r="B45" s="7"/>
      <c r="C45" t="s">
        <v>683</v>
      </c>
    </row>
    <row r="46" spans="2:8">
      <c r="B46" s="7"/>
      <c r="C46" t="s">
        <v>684</v>
      </c>
    </row>
    <row r="47" spans="2:8">
      <c r="B47" s="7"/>
      <c r="C47" t="s">
        <v>685</v>
      </c>
    </row>
    <row r="48" spans="2:8">
      <c r="B48" s="7"/>
      <c r="C48" t="s">
        <v>686</v>
      </c>
    </row>
    <row r="49" spans="2:4">
      <c r="B49" s="7"/>
      <c r="C49" t="s">
        <v>687</v>
      </c>
    </row>
    <row r="50" spans="2:4">
      <c r="B50" s="7"/>
      <c r="C50" t="s">
        <v>688</v>
      </c>
    </row>
    <row r="51" spans="2:4">
      <c r="B51" s="7"/>
    </row>
    <row r="52" spans="2:4">
      <c r="C52" t="s">
        <v>649</v>
      </c>
    </row>
    <row r="53" spans="2:4">
      <c r="C53" t="s">
        <v>0</v>
      </c>
    </row>
    <row r="54" spans="2:4">
      <c r="C54" t="s">
        <v>650</v>
      </c>
    </row>
    <row r="55" spans="2:4">
      <c r="C55" t="s">
        <v>1</v>
      </c>
    </row>
    <row r="56" spans="2:4">
      <c r="D56" t="s">
        <v>652</v>
      </c>
    </row>
    <row r="57" spans="2:4">
      <c r="C57" t="s">
        <v>651</v>
      </c>
    </row>
    <row r="58" spans="2:4">
      <c r="C58" t="s">
        <v>2</v>
      </c>
    </row>
    <row r="59" spans="2:4">
      <c r="C59" t="s">
        <v>654</v>
      </c>
    </row>
    <row r="60" spans="2:4">
      <c r="C60" t="s">
        <v>3</v>
      </c>
    </row>
    <row r="61" spans="2:4">
      <c r="C61" t="s">
        <v>653</v>
      </c>
    </row>
    <row r="62" spans="2:4">
      <c r="C62" t="s">
        <v>4</v>
      </c>
    </row>
    <row r="63" spans="2:4">
      <c r="C63" t="s">
        <v>655</v>
      </c>
    </row>
    <row r="64" spans="2:4">
      <c r="C64" t="s">
        <v>656</v>
      </c>
    </row>
    <row r="65" spans="3:3">
      <c r="C65" t="s">
        <v>5</v>
      </c>
    </row>
    <row r="66" spans="3:3">
      <c r="C66" t="s">
        <v>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D077-D822-4ACD-A234-F73815B9E24F}">
  <dimension ref="A1:AH108"/>
  <sheetViews>
    <sheetView zoomScale="60" zoomScaleNormal="60" workbookViewId="0">
      <selection activeCell="D36" sqref="D36"/>
    </sheetView>
  </sheetViews>
  <sheetFormatPr defaultColWidth="9.09765625" defaultRowHeight="13.8"/>
  <cols>
    <col min="1" max="1" width="20" style="2" customWidth="1"/>
    <col min="2" max="2" width="20.796875" style="1" customWidth="1"/>
    <col min="3" max="3" width="25.796875" style="1" customWidth="1"/>
    <col min="4" max="4" width="80.59765625" style="1" bestFit="1" customWidth="1"/>
    <col min="5" max="5" width="27.19921875" style="4" customWidth="1"/>
    <col min="6" max="6" width="32.296875" style="1" customWidth="1"/>
    <col min="7" max="7" width="25.19921875" style="1" customWidth="1"/>
    <col min="8" max="8" width="20.3984375" style="1" customWidth="1"/>
    <col min="9" max="9" width="19.69921875" style="1" customWidth="1"/>
    <col min="10" max="10" width="25.09765625" style="1" customWidth="1"/>
    <col min="11" max="11" width="45.19921875" style="1" customWidth="1"/>
    <col min="12" max="12" width="80.59765625" style="1" bestFit="1" customWidth="1"/>
    <col min="13" max="13" width="26.796875" style="1" bestFit="1" customWidth="1"/>
    <col min="14" max="14" width="24.19921875" style="1" customWidth="1"/>
    <col min="15" max="15" width="29.796875" style="1" customWidth="1"/>
    <col min="16" max="16" width="24" style="1" customWidth="1"/>
    <col min="17" max="17" width="27.3984375" style="45" customWidth="1"/>
    <col min="18" max="18" width="18" style="45" customWidth="1"/>
    <col min="19" max="19" width="11" style="45" hidden="1" customWidth="1"/>
    <col min="20" max="20" width="33.69921875" style="45" customWidth="1"/>
    <col min="21" max="21" width="26.59765625" style="45" customWidth="1"/>
    <col min="22" max="22" width="35.796875" style="45" bestFit="1" customWidth="1"/>
    <col min="23" max="23" width="32.796875" style="6" customWidth="1"/>
    <col min="24" max="24" width="21.3984375" style="6" customWidth="1"/>
    <col min="25" max="25" width="24.796875" style="6" customWidth="1"/>
    <col min="26" max="26" width="23.8984375" style="6" customWidth="1"/>
    <col min="27" max="27" width="19.09765625" style="6" customWidth="1"/>
    <col min="28" max="28" width="16.09765625" style="6" customWidth="1"/>
    <col min="29" max="29" width="22.8984375" style="6" customWidth="1"/>
    <col min="30" max="31" width="23.19921875" style="6" customWidth="1"/>
    <col min="32" max="32" width="9.09765625" style="6"/>
    <col min="33" max="33" width="10.296875" style="6" bestFit="1" customWidth="1"/>
    <col min="34" max="16384" width="9.09765625" style="6"/>
  </cols>
  <sheetData>
    <row r="1" spans="1:34" customFormat="1" ht="15.6">
      <c r="A1" s="8" t="s">
        <v>6</v>
      </c>
      <c r="B1" s="9" t="s">
        <v>7</v>
      </c>
      <c r="C1" s="9" t="s">
        <v>8</v>
      </c>
      <c r="D1" s="9" t="s">
        <v>9</v>
      </c>
      <c r="E1" s="10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9" t="s">
        <v>21</v>
      </c>
      <c r="Q1" s="9" t="s">
        <v>22</v>
      </c>
      <c r="R1" s="9" t="s">
        <v>23</v>
      </c>
      <c r="S1" s="9" t="s">
        <v>24</v>
      </c>
      <c r="T1" s="9" t="s">
        <v>25</v>
      </c>
      <c r="U1" s="9" t="s">
        <v>26</v>
      </c>
      <c r="V1" s="9" t="s">
        <v>27</v>
      </c>
      <c r="W1" s="9" t="s">
        <v>28</v>
      </c>
      <c r="X1" s="9" t="s">
        <v>29</v>
      </c>
      <c r="Y1" s="9" t="s">
        <v>30</v>
      </c>
      <c r="Z1" s="9" t="s">
        <v>31</v>
      </c>
      <c r="AA1" s="9" t="s">
        <v>32</v>
      </c>
      <c r="AB1" s="9" t="s">
        <v>33</v>
      </c>
      <c r="AC1" s="43" t="s">
        <v>643</v>
      </c>
      <c r="AD1" s="46" t="s">
        <v>659</v>
      </c>
      <c r="AE1" s="43" t="s">
        <v>646</v>
      </c>
    </row>
    <row r="2" spans="1:34" customFormat="1" ht="15.6">
      <c r="A2" s="11">
        <v>175244332362622</v>
      </c>
      <c r="B2" s="12" t="b">
        <v>1</v>
      </c>
      <c r="C2" s="12" t="s">
        <v>34</v>
      </c>
      <c r="D2" s="12" t="s">
        <v>35</v>
      </c>
      <c r="E2" s="13" t="s">
        <v>36</v>
      </c>
      <c r="F2" s="12" t="s">
        <v>37</v>
      </c>
      <c r="G2" s="12">
        <v>21191609</v>
      </c>
      <c r="H2" s="12" t="s">
        <v>38</v>
      </c>
      <c r="I2" s="12" t="s">
        <v>39</v>
      </c>
      <c r="J2" s="12">
        <v>434304</v>
      </c>
      <c r="K2" s="12" t="s">
        <v>40</v>
      </c>
      <c r="L2" s="12" t="s">
        <v>41</v>
      </c>
      <c r="M2" s="12" t="s">
        <v>42</v>
      </c>
      <c r="N2" s="12" t="s">
        <v>43</v>
      </c>
      <c r="O2" s="12">
        <v>1587</v>
      </c>
      <c r="P2" s="12">
        <v>146</v>
      </c>
      <c r="Q2" s="12">
        <v>146</v>
      </c>
      <c r="R2" s="12">
        <v>146</v>
      </c>
      <c r="S2" s="12">
        <v>225</v>
      </c>
      <c r="T2" s="12">
        <v>43</v>
      </c>
      <c r="U2" s="12">
        <v>0</v>
      </c>
      <c r="V2" s="12" t="s">
        <v>44</v>
      </c>
      <c r="W2" s="12">
        <v>2.2000000000000002</v>
      </c>
      <c r="X2" s="12" t="s">
        <v>34</v>
      </c>
      <c r="Y2" s="12" t="s">
        <v>45</v>
      </c>
      <c r="Z2" s="12" t="s">
        <v>42</v>
      </c>
      <c r="AA2" s="12" t="b">
        <v>0</v>
      </c>
      <c r="AB2" s="12">
        <v>0</v>
      </c>
      <c r="AC2" s="47">
        <f>DATEVALUE($E2)</f>
        <v>45433</v>
      </c>
      <c r="AD2" s="12" t="s">
        <v>42</v>
      </c>
      <c r="AE2" s="12" t="str">
        <f>IFERROR( LEFT($K2, FIND(" -", K2)-1), $K2)</f>
        <v>Paris Panini</v>
      </c>
      <c r="AG2" s="25"/>
      <c r="AH2" s="19"/>
    </row>
    <row r="3" spans="1:34" customFormat="1" ht="15">
      <c r="A3" s="14">
        <v>175167017704058</v>
      </c>
      <c r="B3" s="15" t="b">
        <v>0</v>
      </c>
      <c r="C3" s="15" t="s">
        <v>46</v>
      </c>
      <c r="D3" s="15" t="s">
        <v>46</v>
      </c>
      <c r="E3" s="16" t="s">
        <v>47</v>
      </c>
      <c r="F3" s="15" t="s">
        <v>48</v>
      </c>
      <c r="G3" s="15">
        <v>21191609</v>
      </c>
      <c r="H3" s="15" t="s">
        <v>38</v>
      </c>
      <c r="I3" s="15" t="s">
        <v>39</v>
      </c>
      <c r="J3" s="15">
        <v>12804</v>
      </c>
      <c r="K3" s="15" t="s">
        <v>49</v>
      </c>
      <c r="L3" s="15" t="s">
        <v>50</v>
      </c>
      <c r="M3" s="15" t="s">
        <v>42</v>
      </c>
      <c r="N3" s="15" t="s">
        <v>43</v>
      </c>
      <c r="O3" s="15">
        <v>1853</v>
      </c>
      <c r="P3" s="15">
        <v>555</v>
      </c>
      <c r="Q3" s="15">
        <v>555</v>
      </c>
      <c r="R3" s="15">
        <v>555</v>
      </c>
      <c r="S3" s="15">
        <v>480</v>
      </c>
      <c r="T3" s="15">
        <v>41</v>
      </c>
      <c r="U3" s="15">
        <v>0</v>
      </c>
      <c r="V3" s="15" t="s">
        <v>51</v>
      </c>
      <c r="W3" s="15">
        <v>2.2000000000000002</v>
      </c>
      <c r="X3" s="15" t="s">
        <v>46</v>
      </c>
      <c r="Y3" s="15" t="s">
        <v>45</v>
      </c>
      <c r="Z3" s="15" t="s">
        <v>42</v>
      </c>
      <c r="AA3" s="15" t="b">
        <v>0</v>
      </c>
      <c r="AB3" s="15">
        <v>0</v>
      </c>
      <c r="AC3" s="47">
        <f t="shared" ref="AC3:AC66" si="0">DATEVALUE($E3)</f>
        <v>45432</v>
      </c>
      <c r="AD3" s="12" t="s">
        <v>42</v>
      </c>
      <c r="AE3" s="12" t="str">
        <f t="shared" ref="AE3:AE66" si="1">IFERROR( LEFT($K3, FIND(" -", K3)-1), $K3)</f>
        <v>Nandhana Palace</v>
      </c>
      <c r="AG3" s="19"/>
      <c r="AH3" s="19"/>
    </row>
    <row r="4" spans="1:34" customFormat="1" ht="15">
      <c r="A4" s="11">
        <v>175017114796029</v>
      </c>
      <c r="B4" s="12" t="b">
        <v>1</v>
      </c>
      <c r="C4" s="12" t="s">
        <v>52</v>
      </c>
      <c r="D4" s="12" t="s">
        <v>53</v>
      </c>
      <c r="E4" s="13" t="s">
        <v>54</v>
      </c>
      <c r="F4" s="12" t="s">
        <v>55</v>
      </c>
      <c r="G4" s="12">
        <v>21191609</v>
      </c>
      <c r="H4" s="12" t="s">
        <v>38</v>
      </c>
      <c r="I4" s="12" t="s">
        <v>39</v>
      </c>
      <c r="J4" s="12">
        <v>15250</v>
      </c>
      <c r="K4" s="12" t="s">
        <v>56</v>
      </c>
      <c r="L4" s="12" t="s">
        <v>57</v>
      </c>
      <c r="M4" s="12" t="s">
        <v>58</v>
      </c>
      <c r="N4" s="12" t="s">
        <v>43</v>
      </c>
      <c r="O4" s="12">
        <v>1559</v>
      </c>
      <c r="P4" s="12">
        <v>382</v>
      </c>
      <c r="Q4" s="12">
        <v>382</v>
      </c>
      <c r="R4" s="12">
        <v>382</v>
      </c>
      <c r="S4" s="12">
        <v>400</v>
      </c>
      <c r="T4" s="12">
        <v>69</v>
      </c>
      <c r="U4" s="12">
        <v>0</v>
      </c>
      <c r="V4" s="12" t="s">
        <v>59</v>
      </c>
      <c r="W4" s="12">
        <v>3.6</v>
      </c>
      <c r="X4" s="12" t="s">
        <v>52</v>
      </c>
      <c r="Y4" s="12" t="s">
        <v>45</v>
      </c>
      <c r="Z4" s="12" t="s">
        <v>60</v>
      </c>
      <c r="AA4" s="12" t="b">
        <v>1</v>
      </c>
      <c r="AB4" s="12">
        <v>0</v>
      </c>
      <c r="AC4" s="47">
        <f t="shared" si="0"/>
        <v>45430</v>
      </c>
      <c r="AD4" s="12" t="s">
        <v>60</v>
      </c>
      <c r="AE4" s="12" t="str">
        <f t="shared" si="1"/>
        <v>The Ganache Factory</v>
      </c>
      <c r="AG4" s="19"/>
      <c r="AH4" s="19"/>
    </row>
    <row r="5" spans="1:34" customFormat="1" ht="15">
      <c r="A5" s="14">
        <v>174973046023416</v>
      </c>
      <c r="B5" s="15" t="b">
        <v>1</v>
      </c>
      <c r="C5" s="15" t="s">
        <v>34</v>
      </c>
      <c r="D5" s="15" t="s">
        <v>61</v>
      </c>
      <c r="E5" s="16" t="s">
        <v>62</v>
      </c>
      <c r="F5" s="15" t="s">
        <v>63</v>
      </c>
      <c r="G5" s="15">
        <v>21191609</v>
      </c>
      <c r="H5" s="15" t="s">
        <v>38</v>
      </c>
      <c r="I5" s="15" t="s">
        <v>39</v>
      </c>
      <c r="J5" s="15">
        <v>630473</v>
      </c>
      <c r="K5" s="15" t="s">
        <v>64</v>
      </c>
      <c r="L5" s="15" t="s">
        <v>65</v>
      </c>
      <c r="M5" s="15" t="s">
        <v>66</v>
      </c>
      <c r="N5" s="15" t="s">
        <v>43</v>
      </c>
      <c r="O5" s="15">
        <v>3760</v>
      </c>
      <c r="P5" s="15">
        <v>421</v>
      </c>
      <c r="Q5" s="15">
        <v>421</v>
      </c>
      <c r="R5" s="15">
        <v>421</v>
      </c>
      <c r="S5" s="15">
        <v>415</v>
      </c>
      <c r="T5" s="15">
        <v>46</v>
      </c>
      <c r="U5" s="15">
        <v>0</v>
      </c>
      <c r="V5" s="15" t="s">
        <v>67</v>
      </c>
      <c r="W5" s="15">
        <v>2.5</v>
      </c>
      <c r="X5" s="15" t="s">
        <v>34</v>
      </c>
      <c r="Y5" s="15" t="s">
        <v>45</v>
      </c>
      <c r="Z5" s="15" t="s">
        <v>68</v>
      </c>
      <c r="AA5" s="15" t="b">
        <v>0</v>
      </c>
      <c r="AB5" s="15">
        <v>0</v>
      </c>
      <c r="AC5" s="47">
        <f t="shared" si="0"/>
        <v>45430</v>
      </c>
      <c r="AD5" s="12" t="s">
        <v>644</v>
      </c>
      <c r="AE5" s="12" t="str">
        <f t="shared" si="1"/>
        <v>Rasayan</v>
      </c>
      <c r="AG5" s="19"/>
      <c r="AH5" s="19"/>
    </row>
    <row r="6" spans="1:34" customFormat="1" ht="15">
      <c r="A6" s="11">
        <v>174906705849277</v>
      </c>
      <c r="B6" s="12" t="b">
        <v>1</v>
      </c>
      <c r="C6" s="12" t="s">
        <v>69</v>
      </c>
      <c r="D6" s="12" t="s">
        <v>70</v>
      </c>
      <c r="E6" s="13" t="s">
        <v>71</v>
      </c>
      <c r="F6" s="12" t="s">
        <v>72</v>
      </c>
      <c r="G6" s="12">
        <v>21191609</v>
      </c>
      <c r="H6" s="12" t="s">
        <v>38</v>
      </c>
      <c r="I6" s="12" t="s">
        <v>39</v>
      </c>
      <c r="J6" s="12">
        <v>34363</v>
      </c>
      <c r="K6" s="12" t="s">
        <v>73</v>
      </c>
      <c r="L6" s="12" t="s">
        <v>74</v>
      </c>
      <c r="M6" s="12" t="s">
        <v>75</v>
      </c>
      <c r="N6" s="12" t="s">
        <v>43</v>
      </c>
      <c r="O6" s="12">
        <v>2257</v>
      </c>
      <c r="P6" s="12">
        <v>556</v>
      </c>
      <c r="Q6" s="12">
        <v>556</v>
      </c>
      <c r="R6" s="12">
        <v>556</v>
      </c>
      <c r="S6" s="12">
        <v>624</v>
      </c>
      <c r="T6" s="12">
        <v>35</v>
      </c>
      <c r="U6" s="12">
        <v>0</v>
      </c>
      <c r="V6" s="12" t="s">
        <v>76</v>
      </c>
      <c r="W6" s="12">
        <v>2.2000000000000002</v>
      </c>
      <c r="X6" s="12" t="s">
        <v>69</v>
      </c>
      <c r="Y6" s="12" t="s">
        <v>45</v>
      </c>
      <c r="Z6" s="12" t="s">
        <v>77</v>
      </c>
      <c r="AA6" s="12" t="b">
        <v>0</v>
      </c>
      <c r="AB6" s="12">
        <v>0</v>
      </c>
      <c r="AC6" s="47">
        <f t="shared" si="0"/>
        <v>45429</v>
      </c>
      <c r="AD6" s="12" t="s">
        <v>644</v>
      </c>
      <c r="AE6" s="12" t="str">
        <f t="shared" si="1"/>
        <v>Firangi Bake</v>
      </c>
      <c r="AG6" s="26"/>
      <c r="AH6" s="19"/>
    </row>
    <row r="7" spans="1:34" customFormat="1" ht="15">
      <c r="A7" s="14">
        <v>174329455765789</v>
      </c>
      <c r="B7" s="15" t="b">
        <v>1</v>
      </c>
      <c r="C7" s="15" t="s">
        <v>78</v>
      </c>
      <c r="D7" s="15" t="s">
        <v>79</v>
      </c>
      <c r="E7" s="16" t="s">
        <v>80</v>
      </c>
      <c r="F7" s="15" t="s">
        <v>81</v>
      </c>
      <c r="G7" s="15">
        <v>21191609</v>
      </c>
      <c r="H7" s="15" t="s">
        <v>38</v>
      </c>
      <c r="I7" s="15" t="s">
        <v>39</v>
      </c>
      <c r="J7" s="15">
        <v>474244</v>
      </c>
      <c r="K7" s="15" t="s">
        <v>82</v>
      </c>
      <c r="L7" s="15" t="s">
        <v>83</v>
      </c>
      <c r="M7" s="15" t="s">
        <v>84</v>
      </c>
      <c r="N7" s="15" t="s">
        <v>43</v>
      </c>
      <c r="O7" s="15">
        <v>3262</v>
      </c>
      <c r="P7" s="15">
        <v>1062</v>
      </c>
      <c r="Q7" s="15">
        <v>1062</v>
      </c>
      <c r="R7" s="15">
        <v>1062</v>
      </c>
      <c r="S7" s="15">
        <v>1050</v>
      </c>
      <c r="T7" s="15">
        <v>45</v>
      </c>
      <c r="U7" s="15">
        <v>0</v>
      </c>
      <c r="V7" s="15" t="s">
        <v>85</v>
      </c>
      <c r="W7" s="15">
        <v>3.2</v>
      </c>
      <c r="X7" s="15" t="s">
        <v>78</v>
      </c>
      <c r="Y7" s="15" t="s">
        <v>86</v>
      </c>
      <c r="Z7" s="15" t="s">
        <v>60</v>
      </c>
      <c r="AA7" s="15" t="b">
        <v>0</v>
      </c>
      <c r="AB7" s="15">
        <v>0</v>
      </c>
      <c r="AC7" s="47">
        <f t="shared" si="0"/>
        <v>45422</v>
      </c>
      <c r="AD7" s="12" t="s">
        <v>60</v>
      </c>
      <c r="AE7" s="12" t="str">
        <f t="shared" si="1"/>
        <v>Daily Sushi</v>
      </c>
      <c r="AH7" s="19"/>
    </row>
    <row r="8" spans="1:34" customFormat="1" ht="15">
      <c r="A8" s="11">
        <v>174318296922309</v>
      </c>
      <c r="B8" s="12" t="b">
        <v>1</v>
      </c>
      <c r="C8" s="12" t="s">
        <v>34</v>
      </c>
      <c r="D8" s="12" t="s">
        <v>35</v>
      </c>
      <c r="E8" s="13" t="s">
        <v>87</v>
      </c>
      <c r="F8" s="12" t="s">
        <v>88</v>
      </c>
      <c r="G8" s="12">
        <v>21191609</v>
      </c>
      <c r="H8" s="12" t="s">
        <v>38</v>
      </c>
      <c r="I8" s="12" t="s">
        <v>39</v>
      </c>
      <c r="J8" s="12">
        <v>434304</v>
      </c>
      <c r="K8" s="12" t="s">
        <v>40</v>
      </c>
      <c r="L8" s="12" t="s">
        <v>41</v>
      </c>
      <c r="M8" s="12" t="s">
        <v>42</v>
      </c>
      <c r="N8" s="12" t="s">
        <v>43</v>
      </c>
      <c r="O8" s="12">
        <v>2401</v>
      </c>
      <c r="P8" s="12">
        <v>440</v>
      </c>
      <c r="Q8" s="12">
        <v>440</v>
      </c>
      <c r="R8" s="12">
        <v>440</v>
      </c>
      <c r="S8" s="12">
        <v>480</v>
      </c>
      <c r="T8" s="12">
        <v>45</v>
      </c>
      <c r="U8" s="12">
        <v>0</v>
      </c>
      <c r="V8" s="12" t="s">
        <v>44</v>
      </c>
      <c r="W8" s="12">
        <v>2.1</v>
      </c>
      <c r="X8" s="12" t="s">
        <v>34</v>
      </c>
      <c r="Y8" s="12" t="s">
        <v>86</v>
      </c>
      <c r="Z8" s="12" t="s">
        <v>42</v>
      </c>
      <c r="AA8" s="12" t="b">
        <v>0</v>
      </c>
      <c r="AB8" s="12">
        <v>0</v>
      </c>
      <c r="AC8" s="47">
        <f t="shared" si="0"/>
        <v>45422</v>
      </c>
      <c r="AD8" s="12" t="s">
        <v>42</v>
      </c>
      <c r="AE8" s="12" t="str">
        <f t="shared" si="1"/>
        <v>Paris Panini</v>
      </c>
      <c r="AG8" s="19"/>
      <c r="AH8" s="19"/>
    </row>
    <row r="9" spans="1:34" customFormat="1" ht="15">
      <c r="A9" s="14">
        <v>174118005152904</v>
      </c>
      <c r="B9" s="15" t="b">
        <v>1</v>
      </c>
      <c r="C9" s="15" t="s">
        <v>34</v>
      </c>
      <c r="D9" s="15" t="s">
        <v>89</v>
      </c>
      <c r="E9" s="16" t="s">
        <v>90</v>
      </c>
      <c r="F9" s="15" t="s">
        <v>91</v>
      </c>
      <c r="G9" s="15">
        <v>21191609</v>
      </c>
      <c r="H9" s="15" t="s">
        <v>38</v>
      </c>
      <c r="I9" s="15" t="s">
        <v>39</v>
      </c>
      <c r="J9" s="15">
        <v>534276</v>
      </c>
      <c r="K9" s="15" t="s">
        <v>92</v>
      </c>
      <c r="L9" s="15" t="s">
        <v>93</v>
      </c>
      <c r="M9" s="15" t="s">
        <v>94</v>
      </c>
      <c r="N9" s="15" t="s">
        <v>43</v>
      </c>
      <c r="O9" s="15">
        <v>2824</v>
      </c>
      <c r="P9" s="15">
        <v>352</v>
      </c>
      <c r="Q9" s="15">
        <v>352</v>
      </c>
      <c r="R9" s="15">
        <v>352</v>
      </c>
      <c r="S9" s="15">
        <v>350</v>
      </c>
      <c r="T9" s="15">
        <v>36</v>
      </c>
      <c r="U9" s="15">
        <v>0</v>
      </c>
      <c r="V9" s="15" t="s">
        <v>95</v>
      </c>
      <c r="W9" s="15">
        <v>3.2</v>
      </c>
      <c r="X9" s="15" t="s">
        <v>34</v>
      </c>
      <c r="Y9" s="15" t="s">
        <v>45</v>
      </c>
      <c r="Z9" s="15" t="s">
        <v>96</v>
      </c>
      <c r="AA9" s="15" t="b">
        <v>1</v>
      </c>
      <c r="AB9" s="15">
        <v>0</v>
      </c>
      <c r="AC9" s="47">
        <f t="shared" si="0"/>
        <v>45420</v>
      </c>
      <c r="AD9" s="12" t="s">
        <v>96</v>
      </c>
      <c r="AE9" s="12" t="str">
        <f t="shared" si="1"/>
        <v>Naalnaad Mane</v>
      </c>
      <c r="AG9" s="19"/>
      <c r="AH9" s="19"/>
    </row>
    <row r="10" spans="1:34" customFormat="1" ht="15">
      <c r="A10" s="11">
        <v>174075356745024</v>
      </c>
      <c r="B10" s="12" t="b">
        <v>0</v>
      </c>
      <c r="C10" s="12" t="s">
        <v>46</v>
      </c>
      <c r="D10" s="12" t="s">
        <v>46</v>
      </c>
      <c r="E10" s="13" t="s">
        <v>97</v>
      </c>
      <c r="F10" s="12" t="s">
        <v>98</v>
      </c>
      <c r="G10" s="12">
        <v>21191609</v>
      </c>
      <c r="H10" s="12" t="s">
        <v>38</v>
      </c>
      <c r="I10" s="12" t="s">
        <v>39</v>
      </c>
      <c r="J10" s="12">
        <v>524936</v>
      </c>
      <c r="K10" s="12" t="s">
        <v>99</v>
      </c>
      <c r="L10" s="12" t="s">
        <v>100</v>
      </c>
      <c r="M10" s="12" t="s">
        <v>101</v>
      </c>
      <c r="N10" s="12" t="s">
        <v>43</v>
      </c>
      <c r="O10" s="12">
        <v>2011</v>
      </c>
      <c r="P10" s="12">
        <v>644</v>
      </c>
      <c r="Q10" s="12">
        <v>644</v>
      </c>
      <c r="R10" s="12">
        <v>644</v>
      </c>
      <c r="S10" s="12">
        <v>275</v>
      </c>
      <c r="T10" s="12">
        <v>71</v>
      </c>
      <c r="U10" s="12">
        <v>0</v>
      </c>
      <c r="V10" s="12" t="s">
        <v>102</v>
      </c>
      <c r="W10" s="12">
        <v>5.2</v>
      </c>
      <c r="X10" s="12" t="s">
        <v>46</v>
      </c>
      <c r="Y10" s="12" t="s">
        <v>45</v>
      </c>
      <c r="Z10" s="12" t="s">
        <v>103</v>
      </c>
      <c r="AA10" s="12" t="b">
        <v>1</v>
      </c>
      <c r="AB10" s="12">
        <v>0</v>
      </c>
      <c r="AC10" s="47">
        <f t="shared" si="0"/>
        <v>45419</v>
      </c>
      <c r="AD10" s="12" t="s">
        <v>370</v>
      </c>
      <c r="AE10" s="12" t="str">
        <f t="shared" si="1"/>
        <v>Theobroma</v>
      </c>
      <c r="AG10" s="19"/>
      <c r="AH10" s="19"/>
    </row>
    <row r="11" spans="1:34" customFormat="1" ht="15">
      <c r="A11" s="14">
        <v>174067299373268</v>
      </c>
      <c r="B11" s="15" t="b">
        <v>0</v>
      </c>
      <c r="C11" s="15" t="s">
        <v>46</v>
      </c>
      <c r="D11" s="15" t="s">
        <v>46</v>
      </c>
      <c r="E11" s="16" t="s">
        <v>104</v>
      </c>
      <c r="F11" s="15" t="s">
        <v>105</v>
      </c>
      <c r="G11" s="15">
        <v>21191609</v>
      </c>
      <c r="H11" s="15" t="s">
        <v>38</v>
      </c>
      <c r="I11" s="15" t="s">
        <v>39</v>
      </c>
      <c r="J11" s="15">
        <v>437065</v>
      </c>
      <c r="K11" s="15" t="s">
        <v>99</v>
      </c>
      <c r="L11" s="15" t="s">
        <v>106</v>
      </c>
      <c r="M11" s="15" t="s">
        <v>107</v>
      </c>
      <c r="N11" s="15" t="s">
        <v>43</v>
      </c>
      <c r="O11" s="15">
        <v>1455</v>
      </c>
      <c r="P11" s="15">
        <v>387</v>
      </c>
      <c r="Q11" s="15">
        <v>387</v>
      </c>
      <c r="R11" s="15">
        <v>387</v>
      </c>
      <c r="S11" s="15">
        <v>275</v>
      </c>
      <c r="T11" s="15">
        <v>0</v>
      </c>
      <c r="U11" s="15">
        <v>0</v>
      </c>
      <c r="V11" s="15" t="s">
        <v>108</v>
      </c>
      <c r="W11" s="15">
        <v>3.2</v>
      </c>
      <c r="X11" s="15" t="s">
        <v>46</v>
      </c>
      <c r="Y11" s="15" t="s">
        <v>45</v>
      </c>
      <c r="Z11" s="15" t="s">
        <v>60</v>
      </c>
      <c r="AA11" s="15" t="b">
        <v>1</v>
      </c>
      <c r="AB11" s="15">
        <v>0</v>
      </c>
      <c r="AC11" s="47">
        <f t="shared" si="0"/>
        <v>45419</v>
      </c>
      <c r="AD11" s="12" t="s">
        <v>60</v>
      </c>
      <c r="AE11" s="12" t="str">
        <f t="shared" si="1"/>
        <v>Theobroma</v>
      </c>
    </row>
    <row r="12" spans="1:34" customFormat="1" ht="15">
      <c r="A12" s="11">
        <v>174058332503576</v>
      </c>
      <c r="B12" s="12" t="b">
        <v>1</v>
      </c>
      <c r="C12" s="12" t="s">
        <v>34</v>
      </c>
      <c r="D12" s="12" t="s">
        <v>109</v>
      </c>
      <c r="E12" s="13" t="s">
        <v>110</v>
      </c>
      <c r="F12" s="12" t="s">
        <v>111</v>
      </c>
      <c r="G12" s="12">
        <v>21191609</v>
      </c>
      <c r="H12" s="12" t="s">
        <v>38</v>
      </c>
      <c r="I12" s="12" t="s">
        <v>39</v>
      </c>
      <c r="J12" s="12">
        <v>534276</v>
      </c>
      <c r="K12" s="12" t="s">
        <v>92</v>
      </c>
      <c r="L12" s="12" t="s">
        <v>93</v>
      </c>
      <c r="M12" s="12" t="s">
        <v>94</v>
      </c>
      <c r="N12" s="12" t="s">
        <v>43</v>
      </c>
      <c r="O12" s="12">
        <v>4292</v>
      </c>
      <c r="P12" s="12">
        <v>320</v>
      </c>
      <c r="Q12" s="12">
        <v>320</v>
      </c>
      <c r="R12" s="12">
        <v>320</v>
      </c>
      <c r="S12" s="12">
        <v>280</v>
      </c>
      <c r="T12" s="12">
        <v>0</v>
      </c>
      <c r="U12" s="12">
        <v>0</v>
      </c>
      <c r="V12" s="12" t="s">
        <v>95</v>
      </c>
      <c r="W12" s="12">
        <v>3.2</v>
      </c>
      <c r="X12" s="12" t="s">
        <v>34</v>
      </c>
      <c r="Y12" s="12" t="s">
        <v>45</v>
      </c>
      <c r="Z12" s="12" t="s">
        <v>96</v>
      </c>
      <c r="AA12" s="12" t="b">
        <v>0</v>
      </c>
      <c r="AB12" s="12">
        <v>0</v>
      </c>
      <c r="AC12" s="47">
        <f t="shared" si="0"/>
        <v>45419</v>
      </c>
      <c r="AD12" s="12" t="s">
        <v>96</v>
      </c>
      <c r="AE12" s="12" t="str">
        <f t="shared" si="1"/>
        <v>Naalnaad Mane</v>
      </c>
    </row>
    <row r="13" spans="1:34" customFormat="1" ht="15">
      <c r="A13" s="14">
        <v>174037702433562</v>
      </c>
      <c r="B13" s="15" t="b">
        <v>1</v>
      </c>
      <c r="C13" s="15" t="s">
        <v>112</v>
      </c>
      <c r="D13" s="15" t="s">
        <v>113</v>
      </c>
      <c r="E13" s="16" t="s">
        <v>114</v>
      </c>
      <c r="F13" s="15" t="s">
        <v>115</v>
      </c>
      <c r="G13" s="15">
        <v>21191609</v>
      </c>
      <c r="H13" s="15" t="s">
        <v>38</v>
      </c>
      <c r="I13" s="15" t="s">
        <v>39</v>
      </c>
      <c r="J13" s="15">
        <v>34363</v>
      </c>
      <c r="K13" s="15" t="s">
        <v>73</v>
      </c>
      <c r="L13" s="15" t="s">
        <v>74</v>
      </c>
      <c r="M13" s="15" t="s">
        <v>75</v>
      </c>
      <c r="N13" s="15" t="s">
        <v>43</v>
      </c>
      <c r="O13" s="15">
        <v>2730</v>
      </c>
      <c r="P13" s="15">
        <v>320</v>
      </c>
      <c r="Q13" s="15">
        <v>320</v>
      </c>
      <c r="R13" s="15">
        <v>320</v>
      </c>
      <c r="S13" s="15">
        <v>325</v>
      </c>
      <c r="T13" s="15">
        <v>0</v>
      </c>
      <c r="U13" s="15">
        <v>0</v>
      </c>
      <c r="V13" s="15" t="s">
        <v>76</v>
      </c>
      <c r="W13" s="15">
        <v>2.2000000000000002</v>
      </c>
      <c r="X13" s="15" t="s">
        <v>112</v>
      </c>
      <c r="Y13" s="15" t="s">
        <v>45</v>
      </c>
      <c r="Z13" s="15" t="s">
        <v>77</v>
      </c>
      <c r="AA13" s="15" t="b">
        <v>0</v>
      </c>
      <c r="AB13" s="15">
        <v>0</v>
      </c>
      <c r="AC13" s="47">
        <f t="shared" si="0"/>
        <v>45419</v>
      </c>
      <c r="AD13" s="12" t="s">
        <v>644</v>
      </c>
      <c r="AE13" s="12" t="str">
        <f t="shared" si="1"/>
        <v>Firangi Bake</v>
      </c>
    </row>
    <row r="14" spans="1:34" customFormat="1" ht="15">
      <c r="A14" s="11">
        <v>174026206595017</v>
      </c>
      <c r="B14" s="12" t="b">
        <v>1</v>
      </c>
      <c r="C14" s="12" t="s">
        <v>34</v>
      </c>
      <c r="D14" s="12" t="s">
        <v>116</v>
      </c>
      <c r="E14" s="13" t="s">
        <v>117</v>
      </c>
      <c r="F14" s="12" t="s">
        <v>118</v>
      </c>
      <c r="G14" s="12">
        <v>21191609</v>
      </c>
      <c r="H14" s="12" t="s">
        <v>38</v>
      </c>
      <c r="I14" s="12" t="s">
        <v>39</v>
      </c>
      <c r="J14" s="12">
        <v>630473</v>
      </c>
      <c r="K14" s="12" t="s">
        <v>64</v>
      </c>
      <c r="L14" s="12" t="s">
        <v>65</v>
      </c>
      <c r="M14" s="12" t="s">
        <v>66</v>
      </c>
      <c r="N14" s="12" t="s">
        <v>43</v>
      </c>
      <c r="O14" s="12">
        <v>1927</v>
      </c>
      <c r="P14" s="12">
        <v>275</v>
      </c>
      <c r="Q14" s="12">
        <v>275</v>
      </c>
      <c r="R14" s="12">
        <v>275</v>
      </c>
      <c r="S14" s="12">
        <v>239</v>
      </c>
      <c r="T14" s="12">
        <v>10</v>
      </c>
      <c r="U14" s="12">
        <v>0</v>
      </c>
      <c r="V14" s="12" t="s">
        <v>67</v>
      </c>
      <c r="W14" s="12">
        <v>2.5</v>
      </c>
      <c r="X14" s="12" t="s">
        <v>34</v>
      </c>
      <c r="Y14" s="12" t="s">
        <v>45</v>
      </c>
      <c r="Z14" s="12" t="s">
        <v>68</v>
      </c>
      <c r="AA14" s="12" t="b">
        <v>1</v>
      </c>
      <c r="AB14" s="12">
        <v>0</v>
      </c>
      <c r="AC14" s="47">
        <f t="shared" si="0"/>
        <v>45419</v>
      </c>
      <c r="AD14" s="12" t="s">
        <v>644</v>
      </c>
      <c r="AE14" s="12" t="str">
        <f t="shared" si="1"/>
        <v>Rasayan</v>
      </c>
    </row>
    <row r="15" spans="1:34" customFormat="1" ht="15">
      <c r="A15" s="14">
        <v>173972919485563</v>
      </c>
      <c r="B15" s="15" t="b">
        <v>1</v>
      </c>
      <c r="C15" s="15" t="s">
        <v>34</v>
      </c>
      <c r="D15" s="15" t="s">
        <v>119</v>
      </c>
      <c r="E15" s="16" t="s">
        <v>120</v>
      </c>
      <c r="F15" s="15" t="s">
        <v>121</v>
      </c>
      <c r="G15" s="15">
        <v>21191609</v>
      </c>
      <c r="H15" s="15" t="s">
        <v>38</v>
      </c>
      <c r="I15" s="15" t="s">
        <v>39</v>
      </c>
      <c r="J15" s="15">
        <v>434304</v>
      </c>
      <c r="K15" s="15" t="s">
        <v>40</v>
      </c>
      <c r="L15" s="15" t="s">
        <v>41</v>
      </c>
      <c r="M15" s="15" t="s">
        <v>42</v>
      </c>
      <c r="N15" s="15" t="s">
        <v>43</v>
      </c>
      <c r="O15" s="15">
        <v>2041</v>
      </c>
      <c r="P15" s="15">
        <v>334</v>
      </c>
      <c r="Q15" s="15">
        <v>334</v>
      </c>
      <c r="R15" s="15">
        <v>334</v>
      </c>
      <c r="S15" s="15">
        <v>385</v>
      </c>
      <c r="T15" s="15">
        <v>42</v>
      </c>
      <c r="U15" s="15">
        <v>0</v>
      </c>
      <c r="V15" s="15" t="s">
        <v>44</v>
      </c>
      <c r="W15" s="15">
        <v>2.1</v>
      </c>
      <c r="X15" s="15" t="s">
        <v>34</v>
      </c>
      <c r="Y15" s="15" t="s">
        <v>45</v>
      </c>
      <c r="Z15" s="15" t="s">
        <v>42</v>
      </c>
      <c r="AA15" s="15" t="b">
        <v>0</v>
      </c>
      <c r="AB15" s="15">
        <v>0</v>
      </c>
      <c r="AC15" s="47">
        <f t="shared" si="0"/>
        <v>45418</v>
      </c>
      <c r="AD15" s="12" t="s">
        <v>42</v>
      </c>
      <c r="AE15" s="12" t="str">
        <f t="shared" si="1"/>
        <v>Paris Panini</v>
      </c>
    </row>
    <row r="16" spans="1:34" customFormat="1" ht="15">
      <c r="A16" s="11">
        <v>173961191807457</v>
      </c>
      <c r="B16" s="12" t="b">
        <v>0</v>
      </c>
      <c r="C16" s="12" t="s">
        <v>46</v>
      </c>
      <c r="D16" s="12" t="s">
        <v>46</v>
      </c>
      <c r="E16" s="13" t="s">
        <v>122</v>
      </c>
      <c r="F16" s="12" t="s">
        <v>123</v>
      </c>
      <c r="G16" s="12">
        <v>21191609</v>
      </c>
      <c r="H16" s="12" t="s">
        <v>38</v>
      </c>
      <c r="I16" s="12" t="s">
        <v>39</v>
      </c>
      <c r="J16" s="12">
        <v>694704</v>
      </c>
      <c r="K16" s="12" t="s">
        <v>124</v>
      </c>
      <c r="L16" s="12" t="s">
        <v>125</v>
      </c>
      <c r="M16" s="12" t="s">
        <v>126</v>
      </c>
      <c r="N16" s="12" t="s">
        <v>43</v>
      </c>
      <c r="O16" s="12">
        <v>4528</v>
      </c>
      <c r="P16" s="12">
        <v>509</v>
      </c>
      <c r="Q16" s="12">
        <v>509</v>
      </c>
      <c r="R16" s="12">
        <v>509</v>
      </c>
      <c r="S16" s="12">
        <v>370</v>
      </c>
      <c r="T16" s="12">
        <v>0</v>
      </c>
      <c r="U16" s="12">
        <v>0</v>
      </c>
      <c r="V16" s="12" t="s">
        <v>127</v>
      </c>
      <c r="W16" s="12">
        <v>10.199999999999999</v>
      </c>
      <c r="X16" s="12" t="s">
        <v>46</v>
      </c>
      <c r="Y16" s="12" t="s">
        <v>45</v>
      </c>
      <c r="Z16" s="12" t="s">
        <v>128</v>
      </c>
      <c r="AA16" s="12" t="b">
        <v>1</v>
      </c>
      <c r="AB16" s="12">
        <v>0</v>
      </c>
      <c r="AC16" s="47">
        <f t="shared" si="0"/>
        <v>45418</v>
      </c>
      <c r="AD16" s="12" t="s">
        <v>128</v>
      </c>
      <c r="AE16" s="12" t="str">
        <f t="shared" si="1"/>
        <v>Love And Crumble</v>
      </c>
    </row>
    <row r="17" spans="1:31" customFormat="1" ht="15">
      <c r="A17" s="14">
        <v>173953404362535</v>
      </c>
      <c r="B17" s="15" t="b">
        <v>1</v>
      </c>
      <c r="C17" s="15" t="s">
        <v>69</v>
      </c>
      <c r="D17" s="15" t="s">
        <v>129</v>
      </c>
      <c r="E17" s="16" t="s">
        <v>130</v>
      </c>
      <c r="F17" s="15" t="s">
        <v>131</v>
      </c>
      <c r="G17" s="15">
        <v>21191609</v>
      </c>
      <c r="H17" s="15" t="s">
        <v>38</v>
      </c>
      <c r="I17" s="15" t="s">
        <v>39</v>
      </c>
      <c r="J17" s="15">
        <v>34381</v>
      </c>
      <c r="K17" s="15" t="s">
        <v>73</v>
      </c>
      <c r="L17" s="15" t="s">
        <v>132</v>
      </c>
      <c r="M17" s="15" t="s">
        <v>133</v>
      </c>
      <c r="N17" s="15" t="s">
        <v>43</v>
      </c>
      <c r="O17" s="15">
        <v>3728</v>
      </c>
      <c r="P17" s="15">
        <v>556</v>
      </c>
      <c r="Q17" s="15">
        <v>556</v>
      </c>
      <c r="R17" s="15">
        <v>556</v>
      </c>
      <c r="S17" s="15">
        <v>624</v>
      </c>
      <c r="T17" s="15">
        <v>48</v>
      </c>
      <c r="U17" s="15">
        <v>0</v>
      </c>
      <c r="V17" s="15" t="s">
        <v>134</v>
      </c>
      <c r="W17" s="15">
        <v>3.4</v>
      </c>
      <c r="X17" s="15" t="s">
        <v>69</v>
      </c>
      <c r="Y17" s="15" t="s">
        <v>45</v>
      </c>
      <c r="Z17" s="15" t="s">
        <v>96</v>
      </c>
      <c r="AA17" s="15" t="b">
        <v>0</v>
      </c>
      <c r="AB17" s="15">
        <v>0</v>
      </c>
      <c r="AC17" s="47">
        <f t="shared" si="0"/>
        <v>45418</v>
      </c>
      <c r="AD17" s="12" t="s">
        <v>96</v>
      </c>
      <c r="AE17" s="12" t="str">
        <f t="shared" si="1"/>
        <v>Firangi Bake</v>
      </c>
    </row>
    <row r="18" spans="1:31" customFormat="1" ht="15">
      <c r="A18" s="11">
        <v>173934793528823</v>
      </c>
      <c r="B18" s="12" t="b">
        <v>1</v>
      </c>
      <c r="C18" s="12" t="s">
        <v>34</v>
      </c>
      <c r="D18" s="12" t="s">
        <v>116</v>
      </c>
      <c r="E18" s="13" t="s">
        <v>135</v>
      </c>
      <c r="F18" s="12" t="s">
        <v>136</v>
      </c>
      <c r="G18" s="12">
        <v>21191609</v>
      </c>
      <c r="H18" s="12" t="s">
        <v>38</v>
      </c>
      <c r="I18" s="12" t="s">
        <v>39</v>
      </c>
      <c r="J18" s="12">
        <v>630473</v>
      </c>
      <c r="K18" s="12" t="s">
        <v>64</v>
      </c>
      <c r="L18" s="12" t="s">
        <v>65</v>
      </c>
      <c r="M18" s="12" t="s">
        <v>66</v>
      </c>
      <c r="N18" s="12" t="s">
        <v>43</v>
      </c>
      <c r="O18" s="12">
        <v>2470</v>
      </c>
      <c r="P18" s="12">
        <v>242</v>
      </c>
      <c r="Q18" s="12">
        <v>242</v>
      </c>
      <c r="R18" s="12">
        <v>242</v>
      </c>
      <c r="S18" s="12">
        <v>239</v>
      </c>
      <c r="T18" s="12">
        <v>43</v>
      </c>
      <c r="U18" s="12">
        <v>0</v>
      </c>
      <c r="V18" s="12" t="s">
        <v>67</v>
      </c>
      <c r="W18" s="12">
        <v>2.5</v>
      </c>
      <c r="X18" s="12" t="s">
        <v>34</v>
      </c>
      <c r="Y18" s="12" t="s">
        <v>45</v>
      </c>
      <c r="Z18" s="12" t="s">
        <v>68</v>
      </c>
      <c r="AA18" s="12" t="b">
        <v>0</v>
      </c>
      <c r="AB18" s="12">
        <v>0</v>
      </c>
      <c r="AC18" s="47">
        <f t="shared" si="0"/>
        <v>45418</v>
      </c>
      <c r="AD18" s="12" t="s">
        <v>644</v>
      </c>
      <c r="AE18" s="12" t="str">
        <f t="shared" si="1"/>
        <v>Rasayan</v>
      </c>
    </row>
    <row r="19" spans="1:31" customFormat="1" ht="15">
      <c r="A19" s="14">
        <v>173886476249693</v>
      </c>
      <c r="B19" s="15" t="b">
        <v>1</v>
      </c>
      <c r="C19" s="15" t="s">
        <v>34</v>
      </c>
      <c r="D19" s="15" t="s">
        <v>137</v>
      </c>
      <c r="E19" s="16" t="s">
        <v>138</v>
      </c>
      <c r="F19" s="15" t="s">
        <v>139</v>
      </c>
      <c r="G19" s="15">
        <v>21191609</v>
      </c>
      <c r="H19" s="15" t="s">
        <v>38</v>
      </c>
      <c r="I19" s="15" t="s">
        <v>39</v>
      </c>
      <c r="J19" s="15">
        <v>630473</v>
      </c>
      <c r="K19" s="15" t="s">
        <v>64</v>
      </c>
      <c r="L19" s="15" t="s">
        <v>65</v>
      </c>
      <c r="M19" s="15" t="s">
        <v>66</v>
      </c>
      <c r="N19" s="15" t="s">
        <v>43</v>
      </c>
      <c r="O19" s="15">
        <v>1594</v>
      </c>
      <c r="P19" s="15">
        <v>487</v>
      </c>
      <c r="Q19" s="15">
        <v>487</v>
      </c>
      <c r="R19" s="15">
        <v>487</v>
      </c>
      <c r="S19" s="15">
        <v>478</v>
      </c>
      <c r="T19" s="15">
        <v>36</v>
      </c>
      <c r="U19" s="15">
        <v>0</v>
      </c>
      <c r="V19" s="15" t="s">
        <v>67</v>
      </c>
      <c r="W19" s="15">
        <v>2.5</v>
      </c>
      <c r="X19" s="15" t="s">
        <v>34</v>
      </c>
      <c r="Y19" s="15" t="s">
        <v>45</v>
      </c>
      <c r="Z19" s="15" t="s">
        <v>68</v>
      </c>
      <c r="AA19" s="15" t="b">
        <v>1</v>
      </c>
      <c r="AB19" s="15">
        <v>0</v>
      </c>
      <c r="AC19" s="47">
        <f t="shared" si="0"/>
        <v>45417</v>
      </c>
      <c r="AD19" s="12" t="s">
        <v>644</v>
      </c>
      <c r="AE19" s="12" t="str">
        <f t="shared" si="1"/>
        <v>Rasayan</v>
      </c>
    </row>
    <row r="20" spans="1:31" customFormat="1" ht="15">
      <c r="A20" s="11">
        <v>173848012476255</v>
      </c>
      <c r="B20" s="12" t="b">
        <v>1</v>
      </c>
      <c r="C20" s="12" t="s">
        <v>140</v>
      </c>
      <c r="D20" s="12" t="s">
        <v>141</v>
      </c>
      <c r="E20" s="13" t="s">
        <v>142</v>
      </c>
      <c r="F20" s="12" t="s">
        <v>143</v>
      </c>
      <c r="G20" s="12">
        <v>21191609</v>
      </c>
      <c r="H20" s="12" t="s">
        <v>38</v>
      </c>
      <c r="I20" s="12" t="s">
        <v>39</v>
      </c>
      <c r="J20" s="12">
        <v>630473</v>
      </c>
      <c r="K20" s="12" t="s">
        <v>64</v>
      </c>
      <c r="L20" s="12" t="s">
        <v>65</v>
      </c>
      <c r="M20" s="12" t="s">
        <v>66</v>
      </c>
      <c r="N20" s="12" t="s">
        <v>43</v>
      </c>
      <c r="O20" s="12">
        <v>2999</v>
      </c>
      <c r="P20" s="12">
        <v>392</v>
      </c>
      <c r="Q20" s="12">
        <v>392</v>
      </c>
      <c r="R20" s="12">
        <v>392</v>
      </c>
      <c r="S20" s="12">
        <v>498</v>
      </c>
      <c r="T20" s="12">
        <v>43</v>
      </c>
      <c r="U20" s="12">
        <v>0</v>
      </c>
      <c r="V20" s="12" t="s">
        <v>67</v>
      </c>
      <c r="W20" s="12">
        <v>2.5</v>
      </c>
      <c r="X20" s="12" t="s">
        <v>140</v>
      </c>
      <c r="Y20" s="12" t="s">
        <v>45</v>
      </c>
      <c r="Z20" s="12" t="s">
        <v>68</v>
      </c>
      <c r="AA20" s="12" t="b">
        <v>0</v>
      </c>
      <c r="AB20" s="12">
        <v>0</v>
      </c>
      <c r="AC20" s="47">
        <f t="shared" si="0"/>
        <v>45417</v>
      </c>
      <c r="AD20" s="12" t="s">
        <v>644</v>
      </c>
      <c r="AE20" s="12" t="str">
        <f t="shared" si="1"/>
        <v>Rasayan</v>
      </c>
    </row>
    <row r="21" spans="1:31" customFormat="1" ht="15">
      <c r="A21" s="14">
        <v>173787961265182</v>
      </c>
      <c r="B21" s="15" t="b">
        <v>1</v>
      </c>
      <c r="C21" s="15" t="s">
        <v>112</v>
      </c>
      <c r="D21" s="15" t="s">
        <v>144</v>
      </c>
      <c r="E21" s="16" t="s">
        <v>145</v>
      </c>
      <c r="F21" s="15" t="s">
        <v>146</v>
      </c>
      <c r="G21" s="15">
        <v>21191609</v>
      </c>
      <c r="H21" s="15" t="s">
        <v>38</v>
      </c>
      <c r="I21" s="15" t="s">
        <v>39</v>
      </c>
      <c r="J21" s="15">
        <v>534276</v>
      </c>
      <c r="K21" s="15" t="s">
        <v>92</v>
      </c>
      <c r="L21" s="15" t="s">
        <v>93</v>
      </c>
      <c r="M21" s="15" t="s">
        <v>94</v>
      </c>
      <c r="N21" s="15" t="s">
        <v>43</v>
      </c>
      <c r="O21" s="15">
        <v>2684</v>
      </c>
      <c r="P21" s="15">
        <v>680</v>
      </c>
      <c r="Q21" s="15">
        <v>680</v>
      </c>
      <c r="R21" s="15">
        <v>680</v>
      </c>
      <c r="S21" s="15">
        <v>660</v>
      </c>
      <c r="T21" s="15">
        <v>33</v>
      </c>
      <c r="U21" s="15">
        <v>0</v>
      </c>
      <c r="V21" s="15" t="s">
        <v>95</v>
      </c>
      <c r="W21" s="15">
        <v>2.7</v>
      </c>
      <c r="X21" s="15" t="s">
        <v>112</v>
      </c>
      <c r="Y21" s="15" t="s">
        <v>45</v>
      </c>
      <c r="Z21" s="15" t="s">
        <v>96</v>
      </c>
      <c r="AA21" s="15" t="b">
        <v>1</v>
      </c>
      <c r="AB21" s="15">
        <v>0</v>
      </c>
      <c r="AC21" s="47">
        <f t="shared" si="0"/>
        <v>45416</v>
      </c>
      <c r="AD21" s="12" t="s">
        <v>96</v>
      </c>
      <c r="AE21" s="12" t="str">
        <f t="shared" si="1"/>
        <v>Naalnaad Mane</v>
      </c>
    </row>
    <row r="22" spans="1:31" customFormat="1" ht="15">
      <c r="A22" s="11">
        <v>173627120783219</v>
      </c>
      <c r="B22" s="12" t="b">
        <v>1</v>
      </c>
      <c r="C22" s="12" t="s">
        <v>52</v>
      </c>
      <c r="D22" s="12" t="s">
        <v>147</v>
      </c>
      <c r="E22" s="13" t="s">
        <v>148</v>
      </c>
      <c r="F22" s="12" t="s">
        <v>149</v>
      </c>
      <c r="G22" s="12">
        <v>21191609</v>
      </c>
      <c r="H22" s="12" t="s">
        <v>38</v>
      </c>
      <c r="I22" s="12" t="s">
        <v>39</v>
      </c>
      <c r="J22" s="12">
        <v>35953</v>
      </c>
      <c r="K22" s="12" t="s">
        <v>150</v>
      </c>
      <c r="L22" s="12" t="s">
        <v>151</v>
      </c>
      <c r="M22" s="12" t="s">
        <v>152</v>
      </c>
      <c r="N22" s="12" t="s">
        <v>43</v>
      </c>
      <c r="O22" s="12">
        <v>1654</v>
      </c>
      <c r="P22" s="12">
        <v>214</v>
      </c>
      <c r="Q22" s="12">
        <v>214</v>
      </c>
      <c r="R22" s="12">
        <v>214</v>
      </c>
      <c r="S22" s="12">
        <v>239</v>
      </c>
      <c r="T22" s="12">
        <v>54</v>
      </c>
      <c r="U22" s="12">
        <v>0</v>
      </c>
      <c r="V22" s="12" t="s">
        <v>153</v>
      </c>
      <c r="W22" s="12">
        <v>1.6</v>
      </c>
      <c r="X22" s="12" t="s">
        <v>52</v>
      </c>
      <c r="Y22" s="12" t="s">
        <v>86</v>
      </c>
      <c r="Z22" s="12" t="s">
        <v>42</v>
      </c>
      <c r="AA22" s="12" t="b">
        <v>1</v>
      </c>
      <c r="AB22" s="12">
        <v>2</v>
      </c>
      <c r="AC22" s="47">
        <f t="shared" si="0"/>
        <v>45414</v>
      </c>
      <c r="AD22" s="12" t="s">
        <v>42</v>
      </c>
      <c r="AE22" s="12" t="str">
        <f t="shared" si="1"/>
        <v>Homely</v>
      </c>
    </row>
    <row r="23" spans="1:31" customFormat="1" ht="15">
      <c r="A23" s="14">
        <v>173528899495632</v>
      </c>
      <c r="B23" s="15" t="b">
        <v>1</v>
      </c>
      <c r="C23" s="15" t="s">
        <v>112</v>
      </c>
      <c r="D23" s="15" t="s">
        <v>154</v>
      </c>
      <c r="E23" s="16" t="s">
        <v>155</v>
      </c>
      <c r="F23" s="15" t="s">
        <v>156</v>
      </c>
      <c r="G23" s="15">
        <v>21191609</v>
      </c>
      <c r="H23" s="15" t="s">
        <v>38</v>
      </c>
      <c r="I23" s="15" t="s">
        <v>39</v>
      </c>
      <c r="J23" s="15">
        <v>434304</v>
      </c>
      <c r="K23" s="15" t="s">
        <v>40</v>
      </c>
      <c r="L23" s="15" t="s">
        <v>41</v>
      </c>
      <c r="M23" s="15" t="s">
        <v>42</v>
      </c>
      <c r="N23" s="15" t="s">
        <v>43</v>
      </c>
      <c r="O23" s="15">
        <v>2161</v>
      </c>
      <c r="P23" s="15">
        <v>696</v>
      </c>
      <c r="Q23" s="15">
        <v>696</v>
      </c>
      <c r="R23" s="15">
        <v>696</v>
      </c>
      <c r="S23" s="15">
        <v>680</v>
      </c>
      <c r="T23" s="15">
        <v>36</v>
      </c>
      <c r="U23" s="15">
        <v>0</v>
      </c>
      <c r="V23" s="15" t="s">
        <v>44</v>
      </c>
      <c r="W23" s="15">
        <v>2.1</v>
      </c>
      <c r="X23" s="15" t="s">
        <v>112</v>
      </c>
      <c r="Y23" s="15" t="s">
        <v>45</v>
      </c>
      <c r="Z23" s="15" t="s">
        <v>42</v>
      </c>
      <c r="AA23" s="15" t="b">
        <v>0</v>
      </c>
      <c r="AB23" s="15">
        <v>0</v>
      </c>
      <c r="AC23" s="47">
        <f t="shared" si="0"/>
        <v>45413</v>
      </c>
      <c r="AD23" s="12" t="s">
        <v>42</v>
      </c>
      <c r="AE23" s="12" t="str">
        <f t="shared" si="1"/>
        <v>Paris Panini</v>
      </c>
    </row>
    <row r="24" spans="1:31" customFormat="1" ht="15">
      <c r="A24" s="11">
        <v>173508364352211</v>
      </c>
      <c r="B24" s="12" t="b">
        <v>1</v>
      </c>
      <c r="C24" s="12" t="s">
        <v>140</v>
      </c>
      <c r="D24" s="12" t="s">
        <v>157</v>
      </c>
      <c r="E24" s="13" t="s">
        <v>158</v>
      </c>
      <c r="F24" s="12" t="s">
        <v>159</v>
      </c>
      <c r="G24" s="12">
        <v>21191609</v>
      </c>
      <c r="H24" s="12" t="s">
        <v>38</v>
      </c>
      <c r="I24" s="12" t="s">
        <v>39</v>
      </c>
      <c r="J24" s="12">
        <v>630473</v>
      </c>
      <c r="K24" s="12" t="s">
        <v>64</v>
      </c>
      <c r="L24" s="12" t="s">
        <v>65</v>
      </c>
      <c r="M24" s="12" t="s">
        <v>66</v>
      </c>
      <c r="N24" s="12" t="s">
        <v>43</v>
      </c>
      <c r="O24" s="12">
        <v>2775</v>
      </c>
      <c r="P24" s="12">
        <v>399</v>
      </c>
      <c r="Q24" s="12">
        <v>399</v>
      </c>
      <c r="R24" s="12">
        <v>399</v>
      </c>
      <c r="S24" s="12">
        <v>496</v>
      </c>
      <c r="T24" s="12">
        <v>43</v>
      </c>
      <c r="U24" s="12">
        <v>0</v>
      </c>
      <c r="V24" s="12" t="s">
        <v>67</v>
      </c>
      <c r="W24" s="12">
        <v>2.5</v>
      </c>
      <c r="X24" s="12" t="s">
        <v>140</v>
      </c>
      <c r="Y24" s="12" t="s">
        <v>45</v>
      </c>
      <c r="Z24" s="12" t="s">
        <v>68</v>
      </c>
      <c r="AA24" s="12" t="b">
        <v>0</v>
      </c>
      <c r="AB24" s="12">
        <v>0</v>
      </c>
      <c r="AC24" s="47">
        <f t="shared" si="0"/>
        <v>45413</v>
      </c>
      <c r="AD24" s="12" t="s">
        <v>644</v>
      </c>
      <c r="AE24" s="12" t="str">
        <f t="shared" si="1"/>
        <v>Rasayan</v>
      </c>
    </row>
    <row r="25" spans="1:31" customFormat="1" ht="15">
      <c r="A25" s="14">
        <v>173162395766364</v>
      </c>
      <c r="B25" s="15" t="b">
        <v>1</v>
      </c>
      <c r="C25" s="15" t="s">
        <v>140</v>
      </c>
      <c r="D25" s="15" t="s">
        <v>160</v>
      </c>
      <c r="E25" s="16" t="s">
        <v>161</v>
      </c>
      <c r="F25" s="15" t="s">
        <v>162</v>
      </c>
      <c r="G25" s="15">
        <v>21191609</v>
      </c>
      <c r="H25" s="15" t="s">
        <v>38</v>
      </c>
      <c r="I25" s="15" t="s">
        <v>39</v>
      </c>
      <c r="J25" s="15">
        <v>630473</v>
      </c>
      <c r="K25" s="15" t="s">
        <v>64</v>
      </c>
      <c r="L25" s="15" t="s">
        <v>65</v>
      </c>
      <c r="M25" s="15" t="s">
        <v>66</v>
      </c>
      <c r="N25" s="15" t="s">
        <v>43</v>
      </c>
      <c r="O25" s="15">
        <v>2197</v>
      </c>
      <c r="P25" s="15">
        <v>489</v>
      </c>
      <c r="Q25" s="15">
        <v>489</v>
      </c>
      <c r="R25" s="15">
        <v>489</v>
      </c>
      <c r="S25" s="15">
        <v>580</v>
      </c>
      <c r="T25" s="15">
        <v>43</v>
      </c>
      <c r="U25" s="15">
        <v>0</v>
      </c>
      <c r="V25" s="15" t="s">
        <v>67</v>
      </c>
      <c r="W25" s="15">
        <v>2.5</v>
      </c>
      <c r="X25" s="15" t="s">
        <v>140</v>
      </c>
      <c r="Y25" s="15" t="s">
        <v>45</v>
      </c>
      <c r="Z25" s="15" t="s">
        <v>68</v>
      </c>
      <c r="AA25" s="15" t="b">
        <v>0</v>
      </c>
      <c r="AB25" s="15">
        <v>0</v>
      </c>
      <c r="AC25" s="47">
        <f t="shared" si="0"/>
        <v>45409</v>
      </c>
      <c r="AD25" s="12" t="s">
        <v>644</v>
      </c>
      <c r="AE25" s="12" t="str">
        <f t="shared" si="1"/>
        <v>Rasayan</v>
      </c>
    </row>
    <row r="26" spans="1:31" customFormat="1" ht="15">
      <c r="A26" s="11">
        <v>173162271836174</v>
      </c>
      <c r="B26" s="12" t="b">
        <v>0</v>
      </c>
      <c r="C26" s="12" t="s">
        <v>46</v>
      </c>
      <c r="D26" s="12" t="s">
        <v>46</v>
      </c>
      <c r="E26" s="13" t="s">
        <v>163</v>
      </c>
      <c r="F26" s="12" t="s">
        <v>164</v>
      </c>
      <c r="G26" s="12">
        <v>21191609</v>
      </c>
      <c r="H26" s="12" t="s">
        <v>165</v>
      </c>
      <c r="I26" s="12"/>
      <c r="J26" s="12">
        <v>630473</v>
      </c>
      <c r="K26" s="12" t="s">
        <v>64</v>
      </c>
      <c r="L26" s="12" t="s">
        <v>65</v>
      </c>
      <c r="M26" s="12" t="s">
        <v>66</v>
      </c>
      <c r="N26" s="12" t="s">
        <v>43</v>
      </c>
      <c r="O26" s="12">
        <v>0</v>
      </c>
      <c r="P26" s="12">
        <v>646</v>
      </c>
      <c r="Q26" s="12">
        <v>646</v>
      </c>
      <c r="R26" s="12">
        <v>646</v>
      </c>
      <c r="S26" s="12">
        <v>580</v>
      </c>
      <c r="T26" s="12">
        <v>43</v>
      </c>
      <c r="U26" s="12">
        <v>0</v>
      </c>
      <c r="V26" s="12" t="s">
        <v>67</v>
      </c>
      <c r="W26" s="12">
        <v>1.9</v>
      </c>
      <c r="X26" s="12" t="s">
        <v>46</v>
      </c>
      <c r="Y26" s="12" t="s">
        <v>45</v>
      </c>
      <c r="Z26" s="12" t="s">
        <v>68</v>
      </c>
      <c r="AA26" s="12" t="b">
        <v>0</v>
      </c>
      <c r="AB26" s="12">
        <v>0</v>
      </c>
      <c r="AC26" s="47">
        <f t="shared" si="0"/>
        <v>45409</v>
      </c>
      <c r="AD26" s="12" t="s">
        <v>644</v>
      </c>
      <c r="AE26" s="12" t="str">
        <f t="shared" si="1"/>
        <v>Rasayan</v>
      </c>
    </row>
    <row r="27" spans="1:31" customFormat="1" ht="15">
      <c r="A27" s="14">
        <v>173021459533483</v>
      </c>
      <c r="B27" s="15" t="b">
        <v>1</v>
      </c>
      <c r="C27" s="15" t="s">
        <v>112</v>
      </c>
      <c r="D27" s="15" t="s">
        <v>166</v>
      </c>
      <c r="E27" s="16" t="s">
        <v>167</v>
      </c>
      <c r="F27" s="15" t="s">
        <v>168</v>
      </c>
      <c r="G27" s="15">
        <v>21191609</v>
      </c>
      <c r="H27" s="15" t="s">
        <v>38</v>
      </c>
      <c r="I27" s="15" t="s">
        <v>39</v>
      </c>
      <c r="J27" s="15">
        <v>260968</v>
      </c>
      <c r="K27" s="15" t="s">
        <v>169</v>
      </c>
      <c r="L27" s="15" t="s">
        <v>170</v>
      </c>
      <c r="M27" s="15" t="s">
        <v>171</v>
      </c>
      <c r="N27" s="15" t="s">
        <v>43</v>
      </c>
      <c r="O27" s="15">
        <v>1950</v>
      </c>
      <c r="P27" s="15">
        <v>208</v>
      </c>
      <c r="Q27" s="15">
        <v>208</v>
      </c>
      <c r="R27" s="15">
        <v>208</v>
      </c>
      <c r="S27" s="15">
        <v>260</v>
      </c>
      <c r="T27" s="15">
        <v>40</v>
      </c>
      <c r="U27" s="15">
        <v>0</v>
      </c>
      <c r="V27" s="15" t="s">
        <v>172</v>
      </c>
      <c r="W27" s="15">
        <v>3.3</v>
      </c>
      <c r="X27" s="15" t="s">
        <v>112</v>
      </c>
      <c r="Y27" s="15" t="s">
        <v>45</v>
      </c>
      <c r="Z27" s="15" t="s">
        <v>173</v>
      </c>
      <c r="AA27" s="15" t="b">
        <v>1</v>
      </c>
      <c r="AB27" s="15">
        <v>0</v>
      </c>
      <c r="AC27" s="47">
        <f t="shared" si="0"/>
        <v>45407</v>
      </c>
      <c r="AD27" s="12" t="s">
        <v>173</v>
      </c>
      <c r="AE27" s="12" t="str">
        <f t="shared" si="1"/>
        <v>Chowman</v>
      </c>
    </row>
    <row r="28" spans="1:31" customFormat="1" ht="15">
      <c r="A28" s="11">
        <v>172937451496694</v>
      </c>
      <c r="B28" s="12" t="b">
        <v>1</v>
      </c>
      <c r="C28" s="12" t="s">
        <v>52</v>
      </c>
      <c r="D28" s="12" t="s">
        <v>174</v>
      </c>
      <c r="E28" s="13" t="s">
        <v>175</v>
      </c>
      <c r="F28" s="12" t="s">
        <v>176</v>
      </c>
      <c r="G28" s="12">
        <v>21191609</v>
      </c>
      <c r="H28" s="12" t="s">
        <v>38</v>
      </c>
      <c r="I28" s="12" t="s">
        <v>39</v>
      </c>
      <c r="J28" s="12">
        <v>742267</v>
      </c>
      <c r="K28" s="12" t="s">
        <v>40</v>
      </c>
      <c r="L28" s="12" t="s">
        <v>177</v>
      </c>
      <c r="M28" s="12" t="s">
        <v>178</v>
      </c>
      <c r="N28" s="12" t="s">
        <v>43</v>
      </c>
      <c r="O28" s="12">
        <v>2384</v>
      </c>
      <c r="P28" s="12">
        <v>344</v>
      </c>
      <c r="Q28" s="12">
        <v>344</v>
      </c>
      <c r="R28" s="12">
        <v>344</v>
      </c>
      <c r="S28" s="12">
        <v>395</v>
      </c>
      <c r="T28" s="12">
        <v>61</v>
      </c>
      <c r="U28" s="12">
        <v>0</v>
      </c>
      <c r="V28" s="12" t="s">
        <v>179</v>
      </c>
      <c r="W28" s="12">
        <v>5.4</v>
      </c>
      <c r="X28" s="12" t="s">
        <v>52</v>
      </c>
      <c r="Y28" s="12" t="s">
        <v>45</v>
      </c>
      <c r="Z28" s="12" t="s">
        <v>180</v>
      </c>
      <c r="AA28" s="12" t="b">
        <v>1</v>
      </c>
      <c r="AB28" s="12">
        <v>0</v>
      </c>
      <c r="AC28" s="47">
        <f t="shared" si="0"/>
        <v>45406</v>
      </c>
      <c r="AD28" s="12" t="s">
        <v>173</v>
      </c>
      <c r="AE28" s="12" t="str">
        <f t="shared" si="1"/>
        <v>Paris Panini</v>
      </c>
    </row>
    <row r="29" spans="1:31" customFormat="1" ht="15">
      <c r="A29" s="14">
        <v>172865582370674</v>
      </c>
      <c r="B29" s="15" t="b">
        <v>1</v>
      </c>
      <c r="C29" s="15" t="s">
        <v>34</v>
      </c>
      <c r="D29" s="15" t="s">
        <v>181</v>
      </c>
      <c r="E29" s="16" t="s">
        <v>182</v>
      </c>
      <c r="F29" s="15" t="s">
        <v>183</v>
      </c>
      <c r="G29" s="15">
        <v>21191609</v>
      </c>
      <c r="H29" s="15" t="s">
        <v>38</v>
      </c>
      <c r="I29" s="15" t="s">
        <v>39</v>
      </c>
      <c r="J29" s="15">
        <v>29349</v>
      </c>
      <c r="K29" s="15" t="s">
        <v>184</v>
      </c>
      <c r="L29" s="15" t="s">
        <v>185</v>
      </c>
      <c r="M29" s="15" t="s">
        <v>103</v>
      </c>
      <c r="N29" s="15" t="s">
        <v>43</v>
      </c>
      <c r="O29" s="15">
        <v>1985</v>
      </c>
      <c r="P29" s="15">
        <v>301</v>
      </c>
      <c r="Q29" s="15">
        <v>301</v>
      </c>
      <c r="R29" s="15">
        <v>301</v>
      </c>
      <c r="S29" s="15">
        <v>289</v>
      </c>
      <c r="T29" s="15">
        <v>50</v>
      </c>
      <c r="U29" s="15">
        <v>0</v>
      </c>
      <c r="V29" s="15" t="s">
        <v>186</v>
      </c>
      <c r="W29" s="15">
        <v>1.7</v>
      </c>
      <c r="X29" s="15" t="s">
        <v>34</v>
      </c>
      <c r="Y29" s="15" t="s">
        <v>45</v>
      </c>
      <c r="Z29" s="15" t="s">
        <v>103</v>
      </c>
      <c r="AA29" s="15" t="b">
        <v>1</v>
      </c>
      <c r="AB29" s="15">
        <v>0</v>
      </c>
      <c r="AC29" s="47">
        <f t="shared" si="0"/>
        <v>45405</v>
      </c>
      <c r="AD29" s="12" t="s">
        <v>370</v>
      </c>
      <c r="AE29" s="12" t="str">
        <f t="shared" si="1"/>
        <v>Frozen Bottle</v>
      </c>
    </row>
    <row r="30" spans="1:31" customFormat="1" ht="15">
      <c r="A30" s="11">
        <v>172849812190412</v>
      </c>
      <c r="B30" s="12" t="b">
        <v>1</v>
      </c>
      <c r="C30" s="12" t="s">
        <v>112</v>
      </c>
      <c r="D30" s="12" t="s">
        <v>187</v>
      </c>
      <c r="E30" s="13" t="s">
        <v>188</v>
      </c>
      <c r="F30" s="12" t="s">
        <v>189</v>
      </c>
      <c r="G30" s="12">
        <v>21191609</v>
      </c>
      <c r="H30" s="12" t="s">
        <v>38</v>
      </c>
      <c r="I30" s="12" t="s">
        <v>39</v>
      </c>
      <c r="J30" s="12">
        <v>34366</v>
      </c>
      <c r="K30" s="12" t="s">
        <v>73</v>
      </c>
      <c r="L30" s="12" t="s">
        <v>190</v>
      </c>
      <c r="M30" s="12" t="s">
        <v>191</v>
      </c>
      <c r="N30" s="12" t="s">
        <v>43</v>
      </c>
      <c r="O30" s="12">
        <v>1375</v>
      </c>
      <c r="P30" s="12">
        <v>310</v>
      </c>
      <c r="Q30" s="12">
        <v>310</v>
      </c>
      <c r="R30" s="12">
        <v>310</v>
      </c>
      <c r="S30" s="12">
        <v>325</v>
      </c>
      <c r="T30" s="12">
        <v>35</v>
      </c>
      <c r="U30" s="12">
        <v>0</v>
      </c>
      <c r="V30" s="12" t="s">
        <v>192</v>
      </c>
      <c r="W30" s="12">
        <v>0.8</v>
      </c>
      <c r="X30" s="12" t="s">
        <v>112</v>
      </c>
      <c r="Y30" s="12" t="s">
        <v>45</v>
      </c>
      <c r="Z30" s="12" t="s">
        <v>103</v>
      </c>
      <c r="AA30" s="12" t="b">
        <v>0</v>
      </c>
      <c r="AB30" s="12">
        <v>0</v>
      </c>
      <c r="AC30" s="47">
        <f t="shared" si="0"/>
        <v>45405</v>
      </c>
      <c r="AD30" s="12" t="s">
        <v>370</v>
      </c>
      <c r="AE30" s="12" t="str">
        <f t="shared" si="1"/>
        <v>Firangi Bake</v>
      </c>
    </row>
    <row r="31" spans="1:31" customFormat="1" ht="15">
      <c r="A31" s="14">
        <v>172765721740638</v>
      </c>
      <c r="B31" s="15" t="b">
        <v>1</v>
      </c>
      <c r="C31" s="15" t="s">
        <v>78</v>
      </c>
      <c r="D31" s="15" t="s">
        <v>193</v>
      </c>
      <c r="E31" s="16" t="s">
        <v>194</v>
      </c>
      <c r="F31" s="15" t="s">
        <v>195</v>
      </c>
      <c r="G31" s="15">
        <v>21191609</v>
      </c>
      <c r="H31" s="15" t="s">
        <v>38</v>
      </c>
      <c r="I31" s="15" t="s">
        <v>39</v>
      </c>
      <c r="J31" s="15">
        <v>17036</v>
      </c>
      <c r="K31" s="15" t="s">
        <v>196</v>
      </c>
      <c r="L31" s="15" t="s">
        <v>197</v>
      </c>
      <c r="M31" s="15" t="s">
        <v>103</v>
      </c>
      <c r="N31" s="15" t="s">
        <v>43</v>
      </c>
      <c r="O31" s="15">
        <v>1703</v>
      </c>
      <c r="P31" s="15">
        <v>724</v>
      </c>
      <c r="Q31" s="15">
        <v>724</v>
      </c>
      <c r="R31" s="15">
        <v>724</v>
      </c>
      <c r="S31" s="15">
        <v>797.57</v>
      </c>
      <c r="T31" s="15">
        <v>35</v>
      </c>
      <c r="U31" s="15">
        <v>0</v>
      </c>
      <c r="V31" s="15" t="s">
        <v>198</v>
      </c>
      <c r="W31" s="15">
        <v>1.6</v>
      </c>
      <c r="X31" s="15" t="s">
        <v>78</v>
      </c>
      <c r="Y31" s="15" t="s">
        <v>45</v>
      </c>
      <c r="Z31" s="15" t="s">
        <v>103</v>
      </c>
      <c r="AA31" s="15" t="b">
        <v>0</v>
      </c>
      <c r="AB31" s="15">
        <v>0</v>
      </c>
      <c r="AC31" s="47">
        <f t="shared" si="0"/>
        <v>45404</v>
      </c>
      <c r="AD31" s="12" t="s">
        <v>370</v>
      </c>
      <c r="AE31" s="12" t="str">
        <f t="shared" si="1"/>
        <v>Leon's</v>
      </c>
    </row>
    <row r="32" spans="1:31" customFormat="1" ht="15">
      <c r="A32" s="11">
        <v>172415621290914</v>
      </c>
      <c r="B32" s="12" t="b">
        <v>1</v>
      </c>
      <c r="C32" s="12" t="s">
        <v>78</v>
      </c>
      <c r="D32" s="12" t="s">
        <v>199</v>
      </c>
      <c r="E32" s="13" t="s">
        <v>200</v>
      </c>
      <c r="F32" s="12" t="s">
        <v>201</v>
      </c>
      <c r="G32" s="12">
        <v>21191609</v>
      </c>
      <c r="H32" s="12" t="s">
        <v>38</v>
      </c>
      <c r="I32" s="12" t="s">
        <v>39</v>
      </c>
      <c r="J32" s="12">
        <v>17036</v>
      </c>
      <c r="K32" s="12" t="s">
        <v>196</v>
      </c>
      <c r="L32" s="12" t="s">
        <v>197</v>
      </c>
      <c r="M32" s="12" t="s">
        <v>103</v>
      </c>
      <c r="N32" s="12" t="s">
        <v>43</v>
      </c>
      <c r="O32" s="12">
        <v>1726</v>
      </c>
      <c r="P32" s="12">
        <v>252</v>
      </c>
      <c r="Q32" s="12">
        <v>252</v>
      </c>
      <c r="R32" s="12">
        <v>252</v>
      </c>
      <c r="S32" s="12">
        <v>349</v>
      </c>
      <c r="T32" s="12">
        <v>31</v>
      </c>
      <c r="U32" s="12">
        <v>0</v>
      </c>
      <c r="V32" s="12" t="s">
        <v>198</v>
      </c>
      <c r="W32" s="12">
        <v>0.9</v>
      </c>
      <c r="X32" s="12" t="s">
        <v>78</v>
      </c>
      <c r="Y32" s="12" t="s">
        <v>45</v>
      </c>
      <c r="Z32" s="12" t="s">
        <v>103</v>
      </c>
      <c r="AA32" s="12" t="b">
        <v>1</v>
      </c>
      <c r="AB32" s="12">
        <v>0</v>
      </c>
      <c r="AC32" s="47">
        <f t="shared" si="0"/>
        <v>45400</v>
      </c>
      <c r="AD32" s="12" t="s">
        <v>370</v>
      </c>
      <c r="AE32" s="12" t="str">
        <f t="shared" si="1"/>
        <v>Leon's</v>
      </c>
    </row>
    <row r="33" spans="1:31" customFormat="1" ht="15">
      <c r="A33" s="14">
        <v>171120236353593</v>
      </c>
      <c r="B33" s="15" t="b">
        <v>1</v>
      </c>
      <c r="C33" s="15" t="s">
        <v>78</v>
      </c>
      <c r="D33" s="15" t="s">
        <v>199</v>
      </c>
      <c r="E33" s="16" t="s">
        <v>202</v>
      </c>
      <c r="F33" s="15" t="s">
        <v>203</v>
      </c>
      <c r="G33" s="15">
        <v>21191609</v>
      </c>
      <c r="H33" s="15" t="s">
        <v>38</v>
      </c>
      <c r="I33" s="15" t="s">
        <v>39</v>
      </c>
      <c r="J33" s="15">
        <v>17036</v>
      </c>
      <c r="K33" s="15" t="s">
        <v>196</v>
      </c>
      <c r="L33" s="15" t="s">
        <v>197</v>
      </c>
      <c r="M33" s="15" t="s">
        <v>103</v>
      </c>
      <c r="N33" s="15" t="s">
        <v>43</v>
      </c>
      <c r="O33" s="15">
        <v>836</v>
      </c>
      <c r="P33" s="15">
        <v>252</v>
      </c>
      <c r="Q33" s="15">
        <v>252</v>
      </c>
      <c r="R33" s="15">
        <v>252</v>
      </c>
      <c r="S33" s="15">
        <v>349</v>
      </c>
      <c r="T33" s="15">
        <v>29</v>
      </c>
      <c r="U33" s="15">
        <v>0</v>
      </c>
      <c r="V33" s="15" t="s">
        <v>198</v>
      </c>
      <c r="W33" s="15">
        <v>0.2</v>
      </c>
      <c r="X33" s="15" t="s">
        <v>78</v>
      </c>
      <c r="Y33" s="15" t="s">
        <v>45</v>
      </c>
      <c r="Z33" s="15" t="s">
        <v>103</v>
      </c>
      <c r="AA33" s="15" t="b">
        <v>1</v>
      </c>
      <c r="AB33" s="15">
        <v>0</v>
      </c>
      <c r="AC33" s="47">
        <f t="shared" si="0"/>
        <v>45385</v>
      </c>
      <c r="AD33" s="12" t="s">
        <v>370</v>
      </c>
      <c r="AE33" s="12" t="str">
        <f t="shared" si="1"/>
        <v>Leon's</v>
      </c>
    </row>
    <row r="34" spans="1:31" customFormat="1" ht="15">
      <c r="A34" s="11">
        <v>170949181342493</v>
      </c>
      <c r="B34" s="12" t="b">
        <v>1</v>
      </c>
      <c r="C34" s="12" t="s">
        <v>78</v>
      </c>
      <c r="D34" s="12" t="s">
        <v>199</v>
      </c>
      <c r="E34" s="13" t="s">
        <v>204</v>
      </c>
      <c r="F34" s="12" t="s">
        <v>205</v>
      </c>
      <c r="G34" s="12">
        <v>21191609</v>
      </c>
      <c r="H34" s="12" t="s">
        <v>38</v>
      </c>
      <c r="I34" s="12" t="s">
        <v>39</v>
      </c>
      <c r="J34" s="12">
        <v>17036</v>
      </c>
      <c r="K34" s="12" t="s">
        <v>196</v>
      </c>
      <c r="L34" s="12" t="s">
        <v>197</v>
      </c>
      <c r="M34" s="12" t="s">
        <v>103</v>
      </c>
      <c r="N34" s="12" t="s">
        <v>43</v>
      </c>
      <c r="O34" s="12">
        <v>2224</v>
      </c>
      <c r="P34" s="12">
        <v>252</v>
      </c>
      <c r="Q34" s="12">
        <v>252</v>
      </c>
      <c r="R34" s="12">
        <v>252</v>
      </c>
      <c r="S34" s="12">
        <v>349</v>
      </c>
      <c r="T34" s="12">
        <v>34</v>
      </c>
      <c r="U34" s="12">
        <v>0</v>
      </c>
      <c r="V34" s="12" t="s">
        <v>198</v>
      </c>
      <c r="W34" s="12">
        <v>1.6</v>
      </c>
      <c r="X34" s="12" t="s">
        <v>78</v>
      </c>
      <c r="Y34" s="12" t="s">
        <v>86</v>
      </c>
      <c r="Z34" s="12" t="s">
        <v>103</v>
      </c>
      <c r="AA34" s="12" t="b">
        <v>0</v>
      </c>
      <c r="AB34" s="12">
        <v>0</v>
      </c>
      <c r="AC34" s="47">
        <f t="shared" si="0"/>
        <v>45383</v>
      </c>
      <c r="AD34" s="12" t="s">
        <v>370</v>
      </c>
      <c r="AE34" s="12" t="str">
        <f t="shared" si="1"/>
        <v>Leon's</v>
      </c>
    </row>
    <row r="35" spans="1:31" customFormat="1" ht="15">
      <c r="A35" s="14">
        <v>170849767634192</v>
      </c>
      <c r="B35" s="15" t="b">
        <v>1</v>
      </c>
      <c r="C35" s="15" t="s">
        <v>78</v>
      </c>
      <c r="D35" s="15" t="s">
        <v>199</v>
      </c>
      <c r="E35" s="16" t="s">
        <v>206</v>
      </c>
      <c r="F35" s="15" t="s">
        <v>207</v>
      </c>
      <c r="G35" s="15">
        <v>21191609</v>
      </c>
      <c r="H35" s="15" t="s">
        <v>38</v>
      </c>
      <c r="I35" s="15" t="s">
        <v>39</v>
      </c>
      <c r="J35" s="15">
        <v>17036</v>
      </c>
      <c r="K35" s="15" t="s">
        <v>196</v>
      </c>
      <c r="L35" s="15" t="s">
        <v>197</v>
      </c>
      <c r="M35" s="15" t="s">
        <v>103</v>
      </c>
      <c r="N35" s="15" t="s">
        <v>43</v>
      </c>
      <c r="O35" s="15">
        <v>854</v>
      </c>
      <c r="P35" s="15">
        <v>252</v>
      </c>
      <c r="Q35" s="15">
        <v>252</v>
      </c>
      <c r="R35" s="15">
        <v>252</v>
      </c>
      <c r="S35" s="15">
        <v>349</v>
      </c>
      <c r="T35" s="15">
        <v>30</v>
      </c>
      <c r="U35" s="15">
        <v>0</v>
      </c>
      <c r="V35" s="15" t="s">
        <v>198</v>
      </c>
      <c r="W35" s="15">
        <v>1.6</v>
      </c>
      <c r="X35" s="15" t="s">
        <v>78</v>
      </c>
      <c r="Y35" s="15" t="s">
        <v>45</v>
      </c>
      <c r="Z35" s="15" t="s">
        <v>103</v>
      </c>
      <c r="AA35" s="15" t="b">
        <v>1</v>
      </c>
      <c r="AB35" s="15">
        <v>0</v>
      </c>
      <c r="AC35" s="47">
        <f t="shared" si="0"/>
        <v>45382</v>
      </c>
      <c r="AD35" s="12" t="s">
        <v>370</v>
      </c>
      <c r="AE35" s="12" t="str">
        <f t="shared" si="1"/>
        <v>Leon's</v>
      </c>
    </row>
    <row r="36" spans="1:31" customFormat="1" ht="15">
      <c r="A36" s="11">
        <v>170326417874188</v>
      </c>
      <c r="B36" s="12" t="b">
        <v>1</v>
      </c>
      <c r="C36" s="12" t="s">
        <v>34</v>
      </c>
      <c r="D36" s="12" t="s">
        <v>208</v>
      </c>
      <c r="E36" s="13" t="s">
        <v>209</v>
      </c>
      <c r="F36" s="12" t="s">
        <v>210</v>
      </c>
      <c r="G36" s="12">
        <v>21191609</v>
      </c>
      <c r="H36" s="12" t="s">
        <v>38</v>
      </c>
      <c r="I36" s="12" t="s">
        <v>39</v>
      </c>
      <c r="J36" s="12">
        <v>2675</v>
      </c>
      <c r="K36" s="12" t="s">
        <v>211</v>
      </c>
      <c r="L36" s="12" t="s">
        <v>212</v>
      </c>
      <c r="M36" s="12" t="s">
        <v>101</v>
      </c>
      <c r="N36" s="12" t="s">
        <v>43</v>
      </c>
      <c r="O36" s="12">
        <v>779</v>
      </c>
      <c r="P36" s="12">
        <v>252</v>
      </c>
      <c r="Q36" s="12">
        <v>252</v>
      </c>
      <c r="R36" s="12">
        <v>252</v>
      </c>
      <c r="S36" s="12">
        <v>300</v>
      </c>
      <c r="T36" s="12">
        <v>32</v>
      </c>
      <c r="U36" s="12">
        <v>0</v>
      </c>
      <c r="V36" s="12" t="s">
        <v>213</v>
      </c>
      <c r="W36" s="12">
        <v>0.6</v>
      </c>
      <c r="X36" s="12" t="s">
        <v>34</v>
      </c>
      <c r="Y36" s="12" t="s">
        <v>45</v>
      </c>
      <c r="Z36" s="12" t="s">
        <v>214</v>
      </c>
      <c r="AA36" s="12" t="b">
        <v>1</v>
      </c>
      <c r="AB36" s="12">
        <v>0</v>
      </c>
      <c r="AC36" s="47">
        <f t="shared" si="0"/>
        <v>45376</v>
      </c>
      <c r="AD36" s="12" t="s">
        <v>370</v>
      </c>
      <c r="AE36" s="12" t="str">
        <f t="shared" si="1"/>
        <v>Subway</v>
      </c>
    </row>
    <row r="37" spans="1:31" customFormat="1" ht="15">
      <c r="A37" s="14">
        <v>169997934599848</v>
      </c>
      <c r="B37" s="15" t="b">
        <v>1</v>
      </c>
      <c r="C37" s="15" t="s">
        <v>215</v>
      </c>
      <c r="D37" s="15" t="s">
        <v>216</v>
      </c>
      <c r="E37" s="16" t="s">
        <v>217</v>
      </c>
      <c r="F37" s="15" t="s">
        <v>218</v>
      </c>
      <c r="G37" s="15">
        <v>21191609</v>
      </c>
      <c r="H37" s="15" t="s">
        <v>38</v>
      </c>
      <c r="I37" s="15" t="s">
        <v>39</v>
      </c>
      <c r="J37" s="15">
        <v>2675</v>
      </c>
      <c r="K37" s="15" t="s">
        <v>211</v>
      </c>
      <c r="L37" s="15" t="s">
        <v>212</v>
      </c>
      <c r="M37" s="15" t="s">
        <v>101</v>
      </c>
      <c r="N37" s="15" t="s">
        <v>43</v>
      </c>
      <c r="O37" s="15">
        <v>2901</v>
      </c>
      <c r="P37" s="15">
        <v>596</v>
      </c>
      <c r="Q37" s="15">
        <v>596</v>
      </c>
      <c r="R37" s="15">
        <v>596</v>
      </c>
      <c r="S37" s="15">
        <v>649</v>
      </c>
      <c r="T37" s="15">
        <v>34</v>
      </c>
      <c r="U37" s="15">
        <v>0</v>
      </c>
      <c r="V37" s="15" t="s">
        <v>213</v>
      </c>
      <c r="W37" s="15">
        <v>1.9</v>
      </c>
      <c r="X37" s="15" t="s">
        <v>215</v>
      </c>
      <c r="Y37" s="15" t="s">
        <v>45</v>
      </c>
      <c r="Z37" s="15" t="s">
        <v>214</v>
      </c>
      <c r="AA37" s="15" t="b">
        <v>0</v>
      </c>
      <c r="AB37" s="15">
        <v>0</v>
      </c>
      <c r="AC37" s="47">
        <f t="shared" si="0"/>
        <v>45372</v>
      </c>
      <c r="AD37" s="12" t="s">
        <v>370</v>
      </c>
      <c r="AE37" s="12" t="str">
        <f t="shared" si="1"/>
        <v>Subway</v>
      </c>
    </row>
    <row r="38" spans="1:31" customFormat="1" ht="15">
      <c r="A38" s="11">
        <v>169054716176265</v>
      </c>
      <c r="B38" s="12" t="b">
        <v>1</v>
      </c>
      <c r="C38" s="12" t="s">
        <v>34</v>
      </c>
      <c r="D38" s="12" t="s">
        <v>219</v>
      </c>
      <c r="E38" s="13" t="s">
        <v>220</v>
      </c>
      <c r="F38" s="12" t="s">
        <v>221</v>
      </c>
      <c r="G38" s="12">
        <v>21191609</v>
      </c>
      <c r="H38" s="12" t="s">
        <v>38</v>
      </c>
      <c r="I38" s="12" t="s">
        <v>39</v>
      </c>
      <c r="J38" s="12">
        <v>2675</v>
      </c>
      <c r="K38" s="12" t="s">
        <v>211</v>
      </c>
      <c r="L38" s="12" t="s">
        <v>212</v>
      </c>
      <c r="M38" s="12" t="s">
        <v>101</v>
      </c>
      <c r="N38" s="12" t="s">
        <v>43</v>
      </c>
      <c r="O38" s="12">
        <v>4130</v>
      </c>
      <c r="P38" s="12">
        <v>251</v>
      </c>
      <c r="Q38" s="12">
        <v>251</v>
      </c>
      <c r="R38" s="12">
        <v>251</v>
      </c>
      <c r="S38" s="12">
        <v>300</v>
      </c>
      <c r="T38" s="12">
        <v>57</v>
      </c>
      <c r="U38" s="12">
        <v>0</v>
      </c>
      <c r="V38" s="12" t="s">
        <v>213</v>
      </c>
      <c r="W38" s="12">
        <v>1.9</v>
      </c>
      <c r="X38" s="12" t="s">
        <v>34</v>
      </c>
      <c r="Y38" s="12" t="s">
        <v>45</v>
      </c>
      <c r="Z38" s="12" t="s">
        <v>214</v>
      </c>
      <c r="AA38" s="12" t="b">
        <v>0</v>
      </c>
      <c r="AB38" s="12">
        <v>0</v>
      </c>
      <c r="AC38" s="47">
        <f t="shared" si="0"/>
        <v>45361</v>
      </c>
      <c r="AD38" s="12" t="s">
        <v>370</v>
      </c>
      <c r="AE38" s="12" t="str">
        <f t="shared" si="1"/>
        <v>Subway</v>
      </c>
    </row>
    <row r="39" spans="1:31" customFormat="1" ht="15">
      <c r="A39" s="14">
        <v>168959031219038</v>
      </c>
      <c r="B39" s="15" t="b">
        <v>1</v>
      </c>
      <c r="C39" s="15" t="s">
        <v>34</v>
      </c>
      <c r="D39" s="15" t="s">
        <v>219</v>
      </c>
      <c r="E39" s="16" t="s">
        <v>222</v>
      </c>
      <c r="F39" s="15" t="s">
        <v>223</v>
      </c>
      <c r="G39" s="15">
        <v>21191609</v>
      </c>
      <c r="H39" s="15" t="s">
        <v>38</v>
      </c>
      <c r="I39" s="15" t="s">
        <v>39</v>
      </c>
      <c r="J39" s="15">
        <v>2675</v>
      </c>
      <c r="K39" s="15" t="s">
        <v>211</v>
      </c>
      <c r="L39" s="15" t="s">
        <v>212</v>
      </c>
      <c r="M39" s="15" t="s">
        <v>101</v>
      </c>
      <c r="N39" s="15" t="s">
        <v>43</v>
      </c>
      <c r="O39" s="15">
        <v>864</v>
      </c>
      <c r="P39" s="15">
        <v>302</v>
      </c>
      <c r="Q39" s="15">
        <v>302</v>
      </c>
      <c r="R39" s="15">
        <v>302</v>
      </c>
      <c r="S39" s="15">
        <v>349</v>
      </c>
      <c r="T39" s="15">
        <v>32</v>
      </c>
      <c r="U39" s="15">
        <v>0</v>
      </c>
      <c r="V39" s="15" t="s">
        <v>213</v>
      </c>
      <c r="W39" s="15">
        <v>1.9</v>
      </c>
      <c r="X39" s="15" t="s">
        <v>34</v>
      </c>
      <c r="Y39" s="15" t="s">
        <v>45</v>
      </c>
      <c r="Z39" s="15" t="s">
        <v>214</v>
      </c>
      <c r="AA39" s="15" t="b">
        <v>1</v>
      </c>
      <c r="AB39" s="15">
        <v>0</v>
      </c>
      <c r="AC39" s="47">
        <f t="shared" si="0"/>
        <v>45360</v>
      </c>
      <c r="AD39" s="12" t="s">
        <v>370</v>
      </c>
      <c r="AE39" s="12" t="str">
        <f t="shared" si="1"/>
        <v>Subway</v>
      </c>
    </row>
    <row r="40" spans="1:31" customFormat="1" ht="15">
      <c r="A40" s="11">
        <v>168877172918547</v>
      </c>
      <c r="B40" s="12" t="b">
        <v>0</v>
      </c>
      <c r="C40" s="12" t="s">
        <v>46</v>
      </c>
      <c r="D40" s="12" t="s">
        <v>46</v>
      </c>
      <c r="E40" s="13" t="s">
        <v>224</v>
      </c>
      <c r="F40" s="12" t="s">
        <v>225</v>
      </c>
      <c r="G40" s="12">
        <v>21191609</v>
      </c>
      <c r="H40" s="12" t="s">
        <v>38</v>
      </c>
      <c r="I40" s="12" t="s">
        <v>39</v>
      </c>
      <c r="J40" s="12">
        <v>464830</v>
      </c>
      <c r="K40" s="12" t="s">
        <v>226</v>
      </c>
      <c r="L40" s="12" t="s">
        <v>227</v>
      </c>
      <c r="M40" s="12" t="s">
        <v>228</v>
      </c>
      <c r="N40" s="12" t="s">
        <v>43</v>
      </c>
      <c r="O40" s="12">
        <v>2660</v>
      </c>
      <c r="P40" s="12">
        <v>154</v>
      </c>
      <c r="Q40" s="12">
        <v>154</v>
      </c>
      <c r="R40" s="12">
        <v>154</v>
      </c>
      <c r="S40" s="12">
        <v>249</v>
      </c>
      <c r="T40" s="12">
        <v>36</v>
      </c>
      <c r="U40" s="12">
        <v>0</v>
      </c>
      <c r="V40" s="12" t="s">
        <v>229</v>
      </c>
      <c r="W40" s="12">
        <v>1.8</v>
      </c>
      <c r="X40" s="12" t="s">
        <v>46</v>
      </c>
      <c r="Y40" s="12" t="s">
        <v>45</v>
      </c>
      <c r="Z40" s="12" t="s">
        <v>103</v>
      </c>
      <c r="AA40" s="12" t="b">
        <v>0</v>
      </c>
      <c r="AB40" s="12">
        <v>0</v>
      </c>
      <c r="AC40" s="47">
        <f t="shared" si="0"/>
        <v>45359</v>
      </c>
      <c r="AD40" s="12" t="s">
        <v>370</v>
      </c>
      <c r="AE40" s="12" t="str">
        <f t="shared" si="1"/>
        <v>Bowl Soul</v>
      </c>
    </row>
    <row r="41" spans="1:31" customFormat="1" ht="15">
      <c r="A41" s="14">
        <v>168622214022977</v>
      </c>
      <c r="B41" s="15" t="b">
        <v>1</v>
      </c>
      <c r="C41" s="15" t="s">
        <v>34</v>
      </c>
      <c r="D41" s="15" t="s">
        <v>230</v>
      </c>
      <c r="E41" s="16" t="s">
        <v>231</v>
      </c>
      <c r="F41" s="15" t="s">
        <v>232</v>
      </c>
      <c r="G41" s="15">
        <v>21191609</v>
      </c>
      <c r="H41" s="15" t="s">
        <v>38</v>
      </c>
      <c r="I41" s="15" t="s">
        <v>39</v>
      </c>
      <c r="J41" s="15">
        <v>2675</v>
      </c>
      <c r="K41" s="15" t="s">
        <v>211</v>
      </c>
      <c r="L41" s="15" t="s">
        <v>212</v>
      </c>
      <c r="M41" s="15" t="s">
        <v>101</v>
      </c>
      <c r="N41" s="15" t="s">
        <v>43</v>
      </c>
      <c r="O41" s="15">
        <v>2107</v>
      </c>
      <c r="P41" s="15">
        <v>302</v>
      </c>
      <c r="Q41" s="15">
        <v>302</v>
      </c>
      <c r="R41" s="15">
        <v>302</v>
      </c>
      <c r="S41" s="15">
        <v>349</v>
      </c>
      <c r="T41" s="15">
        <v>36</v>
      </c>
      <c r="U41" s="15">
        <v>0</v>
      </c>
      <c r="V41" s="15" t="s">
        <v>213</v>
      </c>
      <c r="W41" s="15">
        <v>1.7</v>
      </c>
      <c r="X41" s="15" t="s">
        <v>34</v>
      </c>
      <c r="Y41" s="15" t="s">
        <v>45</v>
      </c>
      <c r="Z41" s="15" t="s">
        <v>214</v>
      </c>
      <c r="AA41" s="15" t="b">
        <v>1</v>
      </c>
      <c r="AB41" s="15">
        <v>0</v>
      </c>
      <c r="AC41" s="47">
        <f t="shared" si="0"/>
        <v>45356</v>
      </c>
      <c r="AD41" s="12" t="s">
        <v>370</v>
      </c>
      <c r="AE41" s="12" t="str">
        <f t="shared" si="1"/>
        <v>Subway</v>
      </c>
    </row>
    <row r="42" spans="1:31" customFormat="1" ht="15">
      <c r="A42" s="11">
        <v>168513609258675</v>
      </c>
      <c r="B42" s="12" t="b">
        <v>0</v>
      </c>
      <c r="C42" s="12" t="s">
        <v>46</v>
      </c>
      <c r="D42" s="12" t="s">
        <v>46</v>
      </c>
      <c r="E42" s="13" t="s">
        <v>233</v>
      </c>
      <c r="F42" s="12" t="s">
        <v>234</v>
      </c>
      <c r="G42" s="12">
        <v>21191609</v>
      </c>
      <c r="H42" s="12" t="s">
        <v>38</v>
      </c>
      <c r="I42" s="12" t="s">
        <v>39</v>
      </c>
      <c r="J42" s="12">
        <v>18973</v>
      </c>
      <c r="K42" s="12" t="s">
        <v>49</v>
      </c>
      <c r="L42" s="12" t="s">
        <v>235</v>
      </c>
      <c r="M42" s="12" t="s">
        <v>236</v>
      </c>
      <c r="N42" s="12" t="s">
        <v>43</v>
      </c>
      <c r="O42" s="12">
        <v>3667</v>
      </c>
      <c r="P42" s="12">
        <v>537</v>
      </c>
      <c r="Q42" s="12">
        <v>537</v>
      </c>
      <c r="R42" s="12">
        <v>537</v>
      </c>
      <c r="S42" s="12">
        <v>525</v>
      </c>
      <c r="T42" s="12">
        <v>44</v>
      </c>
      <c r="U42" s="12">
        <v>0</v>
      </c>
      <c r="V42" s="12" t="s">
        <v>237</v>
      </c>
      <c r="W42" s="12">
        <v>4.8</v>
      </c>
      <c r="X42" s="12" t="s">
        <v>46</v>
      </c>
      <c r="Y42" s="12" t="s">
        <v>45</v>
      </c>
      <c r="Z42" s="12" t="s">
        <v>236</v>
      </c>
      <c r="AA42" s="12" t="b">
        <v>0</v>
      </c>
      <c r="AB42" s="12">
        <v>0</v>
      </c>
      <c r="AC42" s="47">
        <f t="shared" si="0"/>
        <v>45355</v>
      </c>
      <c r="AD42" s="12" t="s">
        <v>236</v>
      </c>
      <c r="AE42" s="12" t="str">
        <f t="shared" si="1"/>
        <v>Nandhana Palace</v>
      </c>
    </row>
    <row r="43" spans="1:31" customFormat="1" ht="15">
      <c r="A43" s="14">
        <v>168438354785516</v>
      </c>
      <c r="B43" s="15" t="b">
        <v>0</v>
      </c>
      <c r="C43" s="15" t="s">
        <v>46</v>
      </c>
      <c r="D43" s="15" t="s">
        <v>46</v>
      </c>
      <c r="E43" s="16" t="s">
        <v>238</v>
      </c>
      <c r="F43" s="15" t="s">
        <v>239</v>
      </c>
      <c r="G43" s="15">
        <v>21191609</v>
      </c>
      <c r="H43" s="15" t="s">
        <v>38</v>
      </c>
      <c r="I43" s="15" t="s">
        <v>39</v>
      </c>
      <c r="J43" s="15">
        <v>254655</v>
      </c>
      <c r="K43" s="15" t="s">
        <v>82</v>
      </c>
      <c r="L43" s="15" t="s">
        <v>240</v>
      </c>
      <c r="M43" s="15" t="s">
        <v>228</v>
      </c>
      <c r="N43" s="15" t="s">
        <v>43</v>
      </c>
      <c r="O43" s="15">
        <v>1348</v>
      </c>
      <c r="P43" s="15">
        <v>466</v>
      </c>
      <c r="Q43" s="15">
        <v>466</v>
      </c>
      <c r="R43" s="15">
        <v>466</v>
      </c>
      <c r="S43" s="15">
        <v>400</v>
      </c>
      <c r="T43" s="15">
        <v>39</v>
      </c>
      <c r="U43" s="15">
        <v>0</v>
      </c>
      <c r="V43" s="15" t="s">
        <v>241</v>
      </c>
      <c r="W43" s="15">
        <v>2.1</v>
      </c>
      <c r="X43" s="15" t="s">
        <v>46</v>
      </c>
      <c r="Y43" s="15" t="s">
        <v>45</v>
      </c>
      <c r="Z43" s="15" t="s">
        <v>103</v>
      </c>
      <c r="AA43" s="15" t="b">
        <v>1</v>
      </c>
      <c r="AB43" s="15">
        <v>0</v>
      </c>
      <c r="AC43" s="47">
        <f t="shared" si="0"/>
        <v>45354</v>
      </c>
      <c r="AD43" s="12" t="s">
        <v>370</v>
      </c>
      <c r="AE43" s="12" t="str">
        <f t="shared" si="1"/>
        <v>Daily Sushi</v>
      </c>
    </row>
    <row r="44" spans="1:31" customFormat="1" ht="15">
      <c r="A44" s="11">
        <v>168293863851738</v>
      </c>
      <c r="B44" s="12" t="b">
        <v>0</v>
      </c>
      <c r="C44" s="12" t="s">
        <v>46</v>
      </c>
      <c r="D44" s="12" t="s">
        <v>46</v>
      </c>
      <c r="E44" s="13" t="s">
        <v>242</v>
      </c>
      <c r="F44" s="12" t="s">
        <v>243</v>
      </c>
      <c r="G44" s="12">
        <v>21191609</v>
      </c>
      <c r="H44" s="12" t="s">
        <v>38</v>
      </c>
      <c r="I44" s="12" t="s">
        <v>39</v>
      </c>
      <c r="J44" s="12">
        <v>621134</v>
      </c>
      <c r="K44" s="12" t="s">
        <v>244</v>
      </c>
      <c r="L44" s="12" t="s">
        <v>245</v>
      </c>
      <c r="M44" s="12" t="s">
        <v>246</v>
      </c>
      <c r="N44" s="12" t="s">
        <v>43</v>
      </c>
      <c r="O44" s="12">
        <v>1954</v>
      </c>
      <c r="P44" s="12">
        <v>568</v>
      </c>
      <c r="Q44" s="12">
        <v>568</v>
      </c>
      <c r="R44" s="12">
        <v>568</v>
      </c>
      <c r="S44" s="12">
        <v>518</v>
      </c>
      <c r="T44" s="12">
        <v>67</v>
      </c>
      <c r="U44" s="12">
        <v>0</v>
      </c>
      <c r="V44" s="12" t="s">
        <v>247</v>
      </c>
      <c r="W44" s="12">
        <v>5.0999999999999996</v>
      </c>
      <c r="X44" s="12" t="s">
        <v>46</v>
      </c>
      <c r="Y44" s="12" t="s">
        <v>45</v>
      </c>
      <c r="Z44" s="12" t="s">
        <v>248</v>
      </c>
      <c r="AA44" s="12" t="b">
        <v>1</v>
      </c>
      <c r="AB44" s="12">
        <v>0</v>
      </c>
      <c r="AC44" s="47">
        <f t="shared" si="0"/>
        <v>45353</v>
      </c>
      <c r="AD44" s="12" t="s">
        <v>248</v>
      </c>
      <c r="AE44" s="12" t="str">
        <f t="shared" si="1"/>
        <v>Sundae Everyday Ice Creams</v>
      </c>
    </row>
    <row r="45" spans="1:31" customFormat="1" ht="15">
      <c r="A45" s="14">
        <v>168028113662672</v>
      </c>
      <c r="B45" s="15" t="b">
        <v>1</v>
      </c>
      <c r="C45" s="15" t="s">
        <v>34</v>
      </c>
      <c r="D45" s="15" t="s">
        <v>249</v>
      </c>
      <c r="E45" s="16" t="s">
        <v>250</v>
      </c>
      <c r="F45" s="15" t="s">
        <v>251</v>
      </c>
      <c r="G45" s="15">
        <v>21191609</v>
      </c>
      <c r="H45" s="15" t="s">
        <v>38</v>
      </c>
      <c r="I45" s="15" t="s">
        <v>39</v>
      </c>
      <c r="J45" s="15">
        <v>647582</v>
      </c>
      <c r="K45" s="15" t="s">
        <v>252</v>
      </c>
      <c r="L45" s="15" t="s">
        <v>253</v>
      </c>
      <c r="M45" s="15" t="s">
        <v>236</v>
      </c>
      <c r="N45" s="15" t="s">
        <v>43</v>
      </c>
      <c r="O45" s="15">
        <v>1074</v>
      </c>
      <c r="P45" s="15">
        <v>212</v>
      </c>
      <c r="Q45" s="15">
        <v>212</v>
      </c>
      <c r="R45" s="15">
        <v>212</v>
      </c>
      <c r="S45" s="15">
        <v>209</v>
      </c>
      <c r="T45" s="15">
        <v>66</v>
      </c>
      <c r="U45" s="15">
        <v>0</v>
      </c>
      <c r="V45" s="15" t="s">
        <v>254</v>
      </c>
      <c r="W45" s="15">
        <v>5.9</v>
      </c>
      <c r="X45" s="15" t="s">
        <v>34</v>
      </c>
      <c r="Y45" s="15" t="s">
        <v>45</v>
      </c>
      <c r="Z45" s="15" t="s">
        <v>236</v>
      </c>
      <c r="AA45" s="15" t="b">
        <v>1</v>
      </c>
      <c r="AB45" s="15">
        <v>0</v>
      </c>
      <c r="AC45" s="47">
        <f t="shared" si="0"/>
        <v>45349</v>
      </c>
      <c r="AD45" s="12" t="s">
        <v>236</v>
      </c>
      <c r="AE45" s="12" t="str">
        <f t="shared" si="1"/>
        <v>Smoky Docky</v>
      </c>
    </row>
    <row r="46" spans="1:31" customFormat="1" ht="15">
      <c r="A46" s="11">
        <v>168013539245633</v>
      </c>
      <c r="B46" s="12" t="b">
        <v>1</v>
      </c>
      <c r="C46" s="12" t="s">
        <v>34</v>
      </c>
      <c r="D46" s="12" t="s">
        <v>255</v>
      </c>
      <c r="E46" s="13" t="s">
        <v>256</v>
      </c>
      <c r="F46" s="12" t="s">
        <v>257</v>
      </c>
      <c r="G46" s="12">
        <v>21191609</v>
      </c>
      <c r="H46" s="12" t="s">
        <v>38</v>
      </c>
      <c r="I46" s="12" t="s">
        <v>39</v>
      </c>
      <c r="J46" s="12">
        <v>656392</v>
      </c>
      <c r="K46" s="12" t="s">
        <v>211</v>
      </c>
      <c r="L46" s="12" t="s">
        <v>258</v>
      </c>
      <c r="M46" s="12" t="s">
        <v>259</v>
      </c>
      <c r="N46" s="12" t="s">
        <v>43</v>
      </c>
      <c r="O46" s="12">
        <v>1143</v>
      </c>
      <c r="P46" s="12">
        <v>307</v>
      </c>
      <c r="Q46" s="12">
        <v>307</v>
      </c>
      <c r="R46" s="12">
        <v>307</v>
      </c>
      <c r="S46" s="12">
        <v>349</v>
      </c>
      <c r="T46" s="12">
        <v>43</v>
      </c>
      <c r="U46" s="12">
        <v>0</v>
      </c>
      <c r="V46" s="12" t="s">
        <v>260</v>
      </c>
      <c r="W46" s="12">
        <v>3.4</v>
      </c>
      <c r="X46" s="12" t="s">
        <v>34</v>
      </c>
      <c r="Y46" s="12" t="s">
        <v>45</v>
      </c>
      <c r="Z46" s="12" t="s">
        <v>236</v>
      </c>
      <c r="AA46" s="12" t="b">
        <v>1</v>
      </c>
      <c r="AB46" s="12">
        <v>0</v>
      </c>
      <c r="AC46" s="47">
        <f t="shared" si="0"/>
        <v>45349</v>
      </c>
      <c r="AD46" s="12" t="s">
        <v>236</v>
      </c>
      <c r="AE46" s="12" t="str">
        <f t="shared" si="1"/>
        <v>Subway</v>
      </c>
    </row>
    <row r="47" spans="1:31" customFormat="1" ht="15">
      <c r="A47" s="14">
        <v>167927988529759</v>
      </c>
      <c r="B47" s="15" t="b">
        <v>1</v>
      </c>
      <c r="C47" s="15" t="s">
        <v>34</v>
      </c>
      <c r="D47" s="15" t="s">
        <v>249</v>
      </c>
      <c r="E47" s="16" t="s">
        <v>261</v>
      </c>
      <c r="F47" s="15" t="s">
        <v>262</v>
      </c>
      <c r="G47" s="15">
        <v>21191609</v>
      </c>
      <c r="H47" s="15" t="s">
        <v>38</v>
      </c>
      <c r="I47" s="15" t="s">
        <v>39</v>
      </c>
      <c r="J47" s="15">
        <v>647582</v>
      </c>
      <c r="K47" s="15" t="s">
        <v>252</v>
      </c>
      <c r="L47" s="15" t="s">
        <v>253</v>
      </c>
      <c r="M47" s="15" t="s">
        <v>236</v>
      </c>
      <c r="N47" s="15" t="s">
        <v>43</v>
      </c>
      <c r="O47" s="15">
        <v>2408</v>
      </c>
      <c r="P47" s="15">
        <v>212</v>
      </c>
      <c r="Q47" s="15">
        <v>212</v>
      </c>
      <c r="R47" s="15">
        <v>212</v>
      </c>
      <c r="S47" s="15">
        <v>209</v>
      </c>
      <c r="T47" s="15">
        <v>60</v>
      </c>
      <c r="U47" s="15">
        <v>0</v>
      </c>
      <c r="V47" s="15" t="s">
        <v>254</v>
      </c>
      <c r="W47" s="15">
        <v>5.9</v>
      </c>
      <c r="X47" s="15" t="s">
        <v>34</v>
      </c>
      <c r="Y47" s="15" t="s">
        <v>45</v>
      </c>
      <c r="Z47" s="15" t="s">
        <v>236</v>
      </c>
      <c r="AA47" s="15" t="b">
        <v>0</v>
      </c>
      <c r="AB47" s="15">
        <v>0</v>
      </c>
      <c r="AC47" s="47">
        <f t="shared" si="0"/>
        <v>45348</v>
      </c>
      <c r="AD47" s="12" t="s">
        <v>236</v>
      </c>
      <c r="AE47" s="12" t="str">
        <f t="shared" si="1"/>
        <v>Smoky Docky</v>
      </c>
    </row>
    <row r="48" spans="1:31" customFormat="1" ht="15">
      <c r="A48" s="11">
        <v>167230102604894</v>
      </c>
      <c r="B48" s="12" t="b">
        <v>1</v>
      </c>
      <c r="C48" s="12" t="s">
        <v>34</v>
      </c>
      <c r="D48" s="12" t="s">
        <v>263</v>
      </c>
      <c r="E48" s="13" t="s">
        <v>264</v>
      </c>
      <c r="F48" s="12" t="s">
        <v>265</v>
      </c>
      <c r="G48" s="12">
        <v>21191609</v>
      </c>
      <c r="H48" s="12" t="s">
        <v>38</v>
      </c>
      <c r="I48" s="12" t="s">
        <v>39</v>
      </c>
      <c r="J48" s="12">
        <v>144115</v>
      </c>
      <c r="K48" s="12" t="s">
        <v>56</v>
      </c>
      <c r="L48" s="12" t="s">
        <v>266</v>
      </c>
      <c r="M48" s="12" t="s">
        <v>180</v>
      </c>
      <c r="N48" s="12" t="s">
        <v>43</v>
      </c>
      <c r="O48" s="12">
        <v>2856</v>
      </c>
      <c r="P48" s="12">
        <v>341</v>
      </c>
      <c r="Q48" s="12">
        <v>341</v>
      </c>
      <c r="R48" s="12">
        <v>341</v>
      </c>
      <c r="S48" s="12">
        <v>357</v>
      </c>
      <c r="T48" s="12">
        <v>77</v>
      </c>
      <c r="U48" s="12">
        <v>0</v>
      </c>
      <c r="V48" s="12" t="s">
        <v>267</v>
      </c>
      <c r="W48" s="12">
        <v>6.2</v>
      </c>
      <c r="X48" s="12" t="s">
        <v>34</v>
      </c>
      <c r="Y48" s="12" t="s">
        <v>45</v>
      </c>
      <c r="Z48" s="12" t="s">
        <v>268</v>
      </c>
      <c r="AA48" s="12" t="b">
        <v>0</v>
      </c>
      <c r="AB48" s="12">
        <v>0</v>
      </c>
      <c r="AC48" s="47">
        <f t="shared" si="0"/>
        <v>45340</v>
      </c>
      <c r="AD48" s="12" t="s">
        <v>268</v>
      </c>
      <c r="AE48" s="12" t="str">
        <f t="shared" si="1"/>
        <v>The Ganache Factory</v>
      </c>
    </row>
    <row r="49" spans="1:31" customFormat="1" ht="15">
      <c r="A49" s="14">
        <v>167065261006312</v>
      </c>
      <c r="B49" s="15" t="b">
        <v>0</v>
      </c>
      <c r="C49" s="15" t="s">
        <v>46</v>
      </c>
      <c r="D49" s="15" t="s">
        <v>46</v>
      </c>
      <c r="E49" s="16" t="s">
        <v>269</v>
      </c>
      <c r="F49" s="15" t="s">
        <v>270</v>
      </c>
      <c r="G49" s="15">
        <v>21191609</v>
      </c>
      <c r="H49" s="15" t="s">
        <v>38</v>
      </c>
      <c r="I49" s="15" t="s">
        <v>39</v>
      </c>
      <c r="J49" s="15">
        <v>254655</v>
      </c>
      <c r="K49" s="15" t="s">
        <v>82</v>
      </c>
      <c r="L49" s="15" t="s">
        <v>240</v>
      </c>
      <c r="M49" s="15" t="s">
        <v>228</v>
      </c>
      <c r="N49" s="15" t="s">
        <v>43</v>
      </c>
      <c r="O49" s="15">
        <v>1383</v>
      </c>
      <c r="P49" s="15">
        <v>650</v>
      </c>
      <c r="Q49" s="15">
        <v>650</v>
      </c>
      <c r="R49" s="15">
        <v>650</v>
      </c>
      <c r="S49" s="15">
        <v>560</v>
      </c>
      <c r="T49" s="15">
        <v>43</v>
      </c>
      <c r="U49" s="15">
        <v>0</v>
      </c>
      <c r="V49" s="15" t="s">
        <v>241</v>
      </c>
      <c r="W49" s="15">
        <v>2</v>
      </c>
      <c r="X49" s="15" t="s">
        <v>46</v>
      </c>
      <c r="Y49" s="15" t="s">
        <v>86</v>
      </c>
      <c r="Z49" s="15" t="s">
        <v>103</v>
      </c>
      <c r="AA49" s="15" t="b">
        <v>1</v>
      </c>
      <c r="AB49" s="15">
        <v>0</v>
      </c>
      <c r="AC49" s="47">
        <f t="shared" si="0"/>
        <v>45338</v>
      </c>
      <c r="AD49" s="12" t="s">
        <v>370</v>
      </c>
      <c r="AE49" s="12" t="str">
        <f t="shared" si="1"/>
        <v>Daily Sushi</v>
      </c>
    </row>
    <row r="50" spans="1:31" customFormat="1" ht="15">
      <c r="A50" s="11">
        <v>167041647226680</v>
      </c>
      <c r="B50" s="12" t="b">
        <v>1</v>
      </c>
      <c r="C50" s="12" t="s">
        <v>34</v>
      </c>
      <c r="D50" s="12" t="s">
        <v>271</v>
      </c>
      <c r="E50" s="13" t="s">
        <v>272</v>
      </c>
      <c r="F50" s="12" t="s">
        <v>273</v>
      </c>
      <c r="G50" s="12">
        <v>21191609</v>
      </c>
      <c r="H50" s="12" t="s">
        <v>38</v>
      </c>
      <c r="I50" s="12" t="s">
        <v>39</v>
      </c>
      <c r="J50" s="12">
        <v>2675</v>
      </c>
      <c r="K50" s="12" t="s">
        <v>211</v>
      </c>
      <c r="L50" s="12" t="s">
        <v>212</v>
      </c>
      <c r="M50" s="12" t="s">
        <v>101</v>
      </c>
      <c r="N50" s="12" t="s">
        <v>43</v>
      </c>
      <c r="O50" s="12">
        <v>1410</v>
      </c>
      <c r="P50" s="12">
        <v>302</v>
      </c>
      <c r="Q50" s="12">
        <v>302</v>
      </c>
      <c r="R50" s="12">
        <v>302</v>
      </c>
      <c r="S50" s="12">
        <v>349</v>
      </c>
      <c r="T50" s="12">
        <v>31</v>
      </c>
      <c r="U50" s="12">
        <v>0</v>
      </c>
      <c r="V50" s="12" t="s">
        <v>213</v>
      </c>
      <c r="W50" s="12">
        <v>1.9</v>
      </c>
      <c r="X50" s="12" t="s">
        <v>34</v>
      </c>
      <c r="Y50" s="12" t="s">
        <v>45</v>
      </c>
      <c r="Z50" s="12" t="s">
        <v>214</v>
      </c>
      <c r="AA50" s="12" t="b">
        <v>1</v>
      </c>
      <c r="AB50" s="12">
        <v>0</v>
      </c>
      <c r="AC50" s="47">
        <f t="shared" si="0"/>
        <v>45338</v>
      </c>
      <c r="AD50" s="12" t="s">
        <v>370</v>
      </c>
      <c r="AE50" s="12" t="str">
        <f t="shared" si="1"/>
        <v>Subway</v>
      </c>
    </row>
    <row r="51" spans="1:31" customFormat="1" ht="15">
      <c r="A51" s="14">
        <v>166952305677312</v>
      </c>
      <c r="B51" s="15" t="b">
        <v>1</v>
      </c>
      <c r="C51" s="15" t="s">
        <v>34</v>
      </c>
      <c r="D51" s="15" t="s">
        <v>274</v>
      </c>
      <c r="E51" s="16" t="s">
        <v>275</v>
      </c>
      <c r="F51" s="15" t="s">
        <v>276</v>
      </c>
      <c r="G51" s="15">
        <v>21191609</v>
      </c>
      <c r="H51" s="15" t="s">
        <v>38</v>
      </c>
      <c r="I51" s="15" t="s">
        <v>39</v>
      </c>
      <c r="J51" s="15">
        <v>144115</v>
      </c>
      <c r="K51" s="15" t="s">
        <v>56</v>
      </c>
      <c r="L51" s="15" t="s">
        <v>266</v>
      </c>
      <c r="M51" s="15" t="s">
        <v>180</v>
      </c>
      <c r="N51" s="15" t="s">
        <v>43</v>
      </c>
      <c r="O51" s="15">
        <v>2633</v>
      </c>
      <c r="P51" s="15">
        <v>809</v>
      </c>
      <c r="Q51" s="15">
        <v>809</v>
      </c>
      <c r="R51" s="15">
        <v>809</v>
      </c>
      <c r="S51" s="15">
        <v>787.5</v>
      </c>
      <c r="T51" s="15">
        <v>79</v>
      </c>
      <c r="U51" s="15">
        <v>0</v>
      </c>
      <c r="V51" s="15" t="s">
        <v>267</v>
      </c>
      <c r="W51" s="15">
        <v>7.1</v>
      </c>
      <c r="X51" s="15" t="s">
        <v>34</v>
      </c>
      <c r="Y51" s="15" t="s">
        <v>45</v>
      </c>
      <c r="Z51" s="15" t="s">
        <v>268</v>
      </c>
      <c r="AA51" s="15" t="b">
        <v>1</v>
      </c>
      <c r="AB51" s="15">
        <v>0</v>
      </c>
      <c r="AC51" s="47">
        <f t="shared" si="0"/>
        <v>45337</v>
      </c>
      <c r="AD51" s="12" t="s">
        <v>268</v>
      </c>
      <c r="AE51" s="12" t="str">
        <f t="shared" si="1"/>
        <v>The Ganache Factory</v>
      </c>
    </row>
    <row r="52" spans="1:31" customFormat="1" ht="15">
      <c r="A52" s="11">
        <v>166803724653459</v>
      </c>
      <c r="B52" s="12" t="b">
        <v>1</v>
      </c>
      <c r="C52" s="12" t="s">
        <v>34</v>
      </c>
      <c r="D52" s="12" t="s">
        <v>271</v>
      </c>
      <c r="E52" s="13" t="s">
        <v>277</v>
      </c>
      <c r="F52" s="12" t="s">
        <v>278</v>
      </c>
      <c r="G52" s="12">
        <v>21191609</v>
      </c>
      <c r="H52" s="12" t="s">
        <v>38</v>
      </c>
      <c r="I52" s="12" t="s">
        <v>39</v>
      </c>
      <c r="J52" s="12">
        <v>2675</v>
      </c>
      <c r="K52" s="12" t="s">
        <v>211</v>
      </c>
      <c r="L52" s="12" t="s">
        <v>212</v>
      </c>
      <c r="M52" s="12" t="s">
        <v>101</v>
      </c>
      <c r="N52" s="12" t="s">
        <v>43</v>
      </c>
      <c r="O52" s="12">
        <v>2219</v>
      </c>
      <c r="P52" s="12">
        <v>198</v>
      </c>
      <c r="Q52" s="12">
        <v>198</v>
      </c>
      <c r="R52" s="12">
        <v>198</v>
      </c>
      <c r="S52" s="12">
        <v>250</v>
      </c>
      <c r="T52" s="12">
        <v>34</v>
      </c>
      <c r="U52" s="12">
        <v>0</v>
      </c>
      <c r="V52" s="12" t="s">
        <v>213</v>
      </c>
      <c r="W52" s="12">
        <v>1.9</v>
      </c>
      <c r="X52" s="12" t="s">
        <v>34</v>
      </c>
      <c r="Y52" s="12" t="s">
        <v>45</v>
      </c>
      <c r="Z52" s="12" t="s">
        <v>214</v>
      </c>
      <c r="AA52" s="12" t="b">
        <v>0</v>
      </c>
      <c r="AB52" s="12">
        <v>0</v>
      </c>
      <c r="AC52" s="47">
        <f t="shared" si="0"/>
        <v>45335</v>
      </c>
      <c r="AD52" s="12" t="s">
        <v>370</v>
      </c>
      <c r="AE52" s="12" t="str">
        <f t="shared" si="1"/>
        <v>Subway</v>
      </c>
    </row>
    <row r="53" spans="1:31" customFormat="1" ht="15">
      <c r="A53" s="14">
        <v>165960896748502</v>
      </c>
      <c r="B53" s="15" t="b">
        <v>1</v>
      </c>
      <c r="C53" s="15" t="s">
        <v>112</v>
      </c>
      <c r="D53" s="15" t="s">
        <v>279</v>
      </c>
      <c r="E53" s="16" t="s">
        <v>280</v>
      </c>
      <c r="F53" s="15" t="s">
        <v>281</v>
      </c>
      <c r="G53" s="15">
        <v>21191609</v>
      </c>
      <c r="H53" s="15" t="s">
        <v>38</v>
      </c>
      <c r="I53" s="15" t="s">
        <v>39</v>
      </c>
      <c r="J53" s="15">
        <v>418488</v>
      </c>
      <c r="K53" s="15" t="s">
        <v>282</v>
      </c>
      <c r="L53" s="15" t="s">
        <v>283</v>
      </c>
      <c r="M53" s="15" t="s">
        <v>284</v>
      </c>
      <c r="N53" s="15" t="s">
        <v>43</v>
      </c>
      <c r="O53" s="15">
        <v>805</v>
      </c>
      <c r="P53" s="15">
        <v>115</v>
      </c>
      <c r="Q53" s="15">
        <v>115</v>
      </c>
      <c r="R53" s="15">
        <v>115</v>
      </c>
      <c r="S53" s="15">
        <v>186</v>
      </c>
      <c r="T53" s="15">
        <v>50</v>
      </c>
      <c r="U53" s="15">
        <v>0</v>
      </c>
      <c r="V53" s="15" t="s">
        <v>285</v>
      </c>
      <c r="W53" s="15">
        <v>4.4000000000000004</v>
      </c>
      <c r="X53" s="15" t="s">
        <v>112</v>
      </c>
      <c r="Y53" s="15" t="s">
        <v>45</v>
      </c>
      <c r="Z53" s="15" t="s">
        <v>180</v>
      </c>
      <c r="AA53" s="15" t="b">
        <v>1</v>
      </c>
      <c r="AB53" s="15">
        <v>0</v>
      </c>
      <c r="AC53" s="47">
        <f t="shared" si="0"/>
        <v>45326</v>
      </c>
      <c r="AD53" s="12" t="s">
        <v>173</v>
      </c>
      <c r="AE53" s="12" t="str">
        <f t="shared" si="1"/>
        <v>NOTO</v>
      </c>
    </row>
    <row r="54" spans="1:31" customFormat="1" ht="15">
      <c r="A54" s="11">
        <v>165923274381702</v>
      </c>
      <c r="B54" s="12" t="b">
        <v>0</v>
      </c>
      <c r="C54" s="12" t="s">
        <v>46</v>
      </c>
      <c r="D54" s="12" t="s">
        <v>46</v>
      </c>
      <c r="E54" s="13" t="s">
        <v>286</v>
      </c>
      <c r="F54" s="12" t="s">
        <v>287</v>
      </c>
      <c r="G54" s="12">
        <v>21191609</v>
      </c>
      <c r="H54" s="12" t="s">
        <v>38</v>
      </c>
      <c r="I54" s="12" t="s">
        <v>39</v>
      </c>
      <c r="J54" s="12">
        <v>422128</v>
      </c>
      <c r="K54" s="12" t="s">
        <v>288</v>
      </c>
      <c r="L54" s="12" t="s">
        <v>289</v>
      </c>
      <c r="M54" s="12" t="s">
        <v>290</v>
      </c>
      <c r="N54" s="12" t="s">
        <v>43</v>
      </c>
      <c r="O54" s="12">
        <v>1851</v>
      </c>
      <c r="P54" s="12">
        <v>222</v>
      </c>
      <c r="Q54" s="12">
        <v>222</v>
      </c>
      <c r="R54" s="12">
        <v>222</v>
      </c>
      <c r="S54" s="12">
        <v>199</v>
      </c>
      <c r="T54" s="12">
        <v>46</v>
      </c>
      <c r="U54" s="12">
        <v>0</v>
      </c>
      <c r="V54" s="12" t="s">
        <v>291</v>
      </c>
      <c r="W54" s="12">
        <v>5</v>
      </c>
      <c r="X54" s="12" t="s">
        <v>46</v>
      </c>
      <c r="Y54" s="12" t="s">
        <v>45</v>
      </c>
      <c r="Z54" s="12" t="s">
        <v>236</v>
      </c>
      <c r="AA54" s="12" t="b">
        <v>0</v>
      </c>
      <c r="AB54" s="12">
        <v>0</v>
      </c>
      <c r="AC54" s="47">
        <f t="shared" si="0"/>
        <v>45325</v>
      </c>
      <c r="AD54" s="12" t="s">
        <v>236</v>
      </c>
      <c r="AE54" s="12" t="str">
        <f t="shared" si="1"/>
        <v>Baba Ganoush</v>
      </c>
    </row>
    <row r="55" spans="1:31" customFormat="1" ht="15">
      <c r="A55" s="14">
        <v>165854296189400</v>
      </c>
      <c r="B55" s="15" t="b">
        <v>1</v>
      </c>
      <c r="C55" s="15" t="s">
        <v>34</v>
      </c>
      <c r="D55" s="15" t="s">
        <v>249</v>
      </c>
      <c r="E55" s="16" t="s">
        <v>292</v>
      </c>
      <c r="F55" s="15" t="s">
        <v>293</v>
      </c>
      <c r="G55" s="15">
        <v>21191609</v>
      </c>
      <c r="H55" s="15" t="s">
        <v>38</v>
      </c>
      <c r="I55" s="15" t="s">
        <v>39</v>
      </c>
      <c r="J55" s="15">
        <v>647582</v>
      </c>
      <c r="K55" s="15" t="s">
        <v>252</v>
      </c>
      <c r="L55" s="15" t="s">
        <v>253</v>
      </c>
      <c r="M55" s="15" t="s">
        <v>294</v>
      </c>
      <c r="N55" s="15" t="s">
        <v>43</v>
      </c>
      <c r="O55" s="15">
        <v>3484</v>
      </c>
      <c r="P55" s="15">
        <v>212</v>
      </c>
      <c r="Q55" s="15">
        <v>212</v>
      </c>
      <c r="R55" s="15">
        <v>212</v>
      </c>
      <c r="S55" s="15">
        <v>209</v>
      </c>
      <c r="T55" s="15">
        <v>56</v>
      </c>
      <c r="U55" s="15">
        <v>0</v>
      </c>
      <c r="V55" s="15" t="s">
        <v>254</v>
      </c>
      <c r="W55" s="15">
        <v>5.9</v>
      </c>
      <c r="X55" s="15" t="s">
        <v>34</v>
      </c>
      <c r="Y55" s="15" t="s">
        <v>45</v>
      </c>
      <c r="Z55" s="15" t="s">
        <v>236</v>
      </c>
      <c r="AA55" s="15" t="b">
        <v>0</v>
      </c>
      <c r="AB55" s="15">
        <v>0</v>
      </c>
      <c r="AC55" s="47">
        <f t="shared" si="0"/>
        <v>45324</v>
      </c>
      <c r="AD55" s="12" t="s">
        <v>236</v>
      </c>
      <c r="AE55" s="12" t="str">
        <f t="shared" si="1"/>
        <v>Smoky Docky</v>
      </c>
    </row>
    <row r="56" spans="1:31" customFormat="1" ht="15">
      <c r="A56" s="11">
        <v>165409130967084</v>
      </c>
      <c r="B56" s="12" t="b">
        <v>0</v>
      </c>
      <c r="C56" s="12" t="s">
        <v>46</v>
      </c>
      <c r="D56" s="12" t="s">
        <v>46</v>
      </c>
      <c r="E56" s="13" t="s">
        <v>295</v>
      </c>
      <c r="F56" s="12" t="s">
        <v>296</v>
      </c>
      <c r="G56" s="12">
        <v>21191609</v>
      </c>
      <c r="H56" s="12" t="s">
        <v>38</v>
      </c>
      <c r="I56" s="12" t="s">
        <v>39</v>
      </c>
      <c r="J56" s="12">
        <v>647582</v>
      </c>
      <c r="K56" s="12" t="s">
        <v>252</v>
      </c>
      <c r="L56" s="12" t="s">
        <v>253</v>
      </c>
      <c r="M56" s="12" t="s">
        <v>294</v>
      </c>
      <c r="N56" s="12" t="s">
        <v>43</v>
      </c>
      <c r="O56" s="12">
        <v>1732</v>
      </c>
      <c r="P56" s="12">
        <v>233</v>
      </c>
      <c r="Q56" s="12">
        <v>233</v>
      </c>
      <c r="R56" s="12">
        <v>233</v>
      </c>
      <c r="S56" s="12">
        <v>209</v>
      </c>
      <c r="T56" s="12">
        <v>62</v>
      </c>
      <c r="U56" s="12">
        <v>0</v>
      </c>
      <c r="V56" s="12" t="s">
        <v>254</v>
      </c>
      <c r="W56" s="12">
        <v>5.9</v>
      </c>
      <c r="X56" s="12" t="s">
        <v>46</v>
      </c>
      <c r="Y56" s="12" t="s">
        <v>86</v>
      </c>
      <c r="Z56" s="12" t="s">
        <v>236</v>
      </c>
      <c r="AA56" s="12" t="b">
        <v>1</v>
      </c>
      <c r="AB56" s="12">
        <v>0</v>
      </c>
      <c r="AC56" s="47">
        <f t="shared" si="0"/>
        <v>45319</v>
      </c>
      <c r="AD56" s="12" t="s">
        <v>236</v>
      </c>
      <c r="AE56" s="12" t="str">
        <f t="shared" si="1"/>
        <v>Smoky Docky</v>
      </c>
    </row>
    <row r="57" spans="1:31" customFormat="1" ht="15">
      <c r="A57" s="14">
        <v>165341581288776</v>
      </c>
      <c r="B57" s="15" t="b">
        <v>1</v>
      </c>
      <c r="C57" s="15" t="s">
        <v>34</v>
      </c>
      <c r="D57" s="15" t="s">
        <v>297</v>
      </c>
      <c r="E57" s="16" t="s">
        <v>298</v>
      </c>
      <c r="F57" s="15" t="s">
        <v>299</v>
      </c>
      <c r="G57" s="15">
        <v>21191609</v>
      </c>
      <c r="H57" s="15" t="s">
        <v>38</v>
      </c>
      <c r="I57" s="15"/>
      <c r="J57" s="15">
        <v>23805</v>
      </c>
      <c r="K57" s="15" t="s">
        <v>300</v>
      </c>
      <c r="L57" s="15" t="s">
        <v>301</v>
      </c>
      <c r="M57" s="15" t="s">
        <v>302</v>
      </c>
      <c r="N57" s="15" t="s">
        <v>43</v>
      </c>
      <c r="O57" s="15">
        <v>1409</v>
      </c>
      <c r="P57" s="15">
        <v>599</v>
      </c>
      <c r="Q57" s="15">
        <v>599</v>
      </c>
      <c r="R57" s="15">
        <v>599</v>
      </c>
      <c r="S57" s="15">
        <v>578</v>
      </c>
      <c r="T57" s="15">
        <v>0</v>
      </c>
      <c r="U57" s="15">
        <v>0</v>
      </c>
      <c r="V57" s="15" t="s">
        <v>303</v>
      </c>
      <c r="W57" s="15">
        <v>0</v>
      </c>
      <c r="X57" s="15" t="s">
        <v>34</v>
      </c>
      <c r="Y57" s="15" t="s">
        <v>45</v>
      </c>
      <c r="Z57" s="15" t="s">
        <v>103</v>
      </c>
      <c r="AA57" s="15" t="b">
        <v>0</v>
      </c>
      <c r="AB57" s="15">
        <v>0</v>
      </c>
      <c r="AC57" s="47">
        <f t="shared" si="0"/>
        <v>45318</v>
      </c>
      <c r="AD57" s="12" t="s">
        <v>370</v>
      </c>
      <c r="AE57" s="12" t="str">
        <f t="shared" si="1"/>
        <v>Domino's Pizza</v>
      </c>
    </row>
    <row r="58" spans="1:31" customFormat="1" ht="15">
      <c r="A58" s="11">
        <v>164743294943602</v>
      </c>
      <c r="B58" s="12" t="b">
        <v>1</v>
      </c>
      <c r="C58" s="12" t="s">
        <v>112</v>
      </c>
      <c r="D58" s="12" t="s">
        <v>304</v>
      </c>
      <c r="E58" s="13" t="s">
        <v>305</v>
      </c>
      <c r="F58" s="12" t="s">
        <v>306</v>
      </c>
      <c r="G58" s="12">
        <v>21191609</v>
      </c>
      <c r="H58" s="12" t="s">
        <v>38</v>
      </c>
      <c r="I58" s="12" t="s">
        <v>39</v>
      </c>
      <c r="J58" s="12">
        <v>502673</v>
      </c>
      <c r="K58" s="12" t="s">
        <v>307</v>
      </c>
      <c r="L58" s="12" t="s">
        <v>308</v>
      </c>
      <c r="M58" s="12" t="s">
        <v>309</v>
      </c>
      <c r="N58" s="12" t="s">
        <v>43</v>
      </c>
      <c r="O58" s="12">
        <v>1413</v>
      </c>
      <c r="P58" s="12">
        <v>588</v>
      </c>
      <c r="Q58" s="12">
        <v>588</v>
      </c>
      <c r="R58" s="12">
        <v>588</v>
      </c>
      <c r="S58" s="12">
        <v>586.66999999999996</v>
      </c>
      <c r="T58" s="12">
        <v>36</v>
      </c>
      <c r="U58" s="12">
        <v>0</v>
      </c>
      <c r="V58" s="12" t="s">
        <v>310</v>
      </c>
      <c r="W58" s="12">
        <v>0.5</v>
      </c>
      <c r="X58" s="12" t="s">
        <v>112</v>
      </c>
      <c r="Y58" s="12" t="s">
        <v>45</v>
      </c>
      <c r="Z58" s="12" t="s">
        <v>103</v>
      </c>
      <c r="AA58" s="12" t="b">
        <v>1</v>
      </c>
      <c r="AB58" s="12">
        <v>0</v>
      </c>
      <c r="AC58" s="47">
        <f t="shared" si="0"/>
        <v>45311</v>
      </c>
      <c r="AD58" s="12" t="s">
        <v>370</v>
      </c>
      <c r="AE58" s="12" t="str">
        <f t="shared" si="1"/>
        <v>The Belgian Waffle Co.</v>
      </c>
    </row>
    <row r="59" spans="1:31" customFormat="1" ht="15">
      <c r="A59" s="14">
        <v>164714296625099</v>
      </c>
      <c r="B59" s="15" t="b">
        <v>0</v>
      </c>
      <c r="C59" s="15" t="s">
        <v>46</v>
      </c>
      <c r="D59" s="15" t="s">
        <v>46</v>
      </c>
      <c r="E59" s="16" t="s">
        <v>311</v>
      </c>
      <c r="F59" s="15" t="s">
        <v>312</v>
      </c>
      <c r="G59" s="15">
        <v>21191609</v>
      </c>
      <c r="H59" s="15" t="s">
        <v>38</v>
      </c>
      <c r="I59" s="15" t="s">
        <v>39</v>
      </c>
      <c r="J59" s="15">
        <v>647582</v>
      </c>
      <c r="K59" s="15" t="s">
        <v>252</v>
      </c>
      <c r="L59" s="15" t="s">
        <v>253</v>
      </c>
      <c r="M59" s="15" t="s">
        <v>294</v>
      </c>
      <c r="N59" s="15" t="s">
        <v>43</v>
      </c>
      <c r="O59" s="15">
        <v>2746</v>
      </c>
      <c r="P59" s="15">
        <v>233</v>
      </c>
      <c r="Q59" s="15">
        <v>233</v>
      </c>
      <c r="R59" s="15">
        <v>233</v>
      </c>
      <c r="S59" s="15">
        <v>209</v>
      </c>
      <c r="T59" s="15">
        <v>58</v>
      </c>
      <c r="U59" s="15">
        <v>0</v>
      </c>
      <c r="V59" s="15" t="s">
        <v>254</v>
      </c>
      <c r="W59" s="15">
        <v>5.9</v>
      </c>
      <c r="X59" s="15" t="s">
        <v>46</v>
      </c>
      <c r="Y59" s="15" t="s">
        <v>45</v>
      </c>
      <c r="Z59" s="15" t="s">
        <v>236</v>
      </c>
      <c r="AA59" s="15" t="b">
        <v>0</v>
      </c>
      <c r="AB59" s="15">
        <v>0</v>
      </c>
      <c r="AC59" s="47">
        <f t="shared" si="0"/>
        <v>45311</v>
      </c>
      <c r="AD59" s="12" t="s">
        <v>236</v>
      </c>
      <c r="AE59" s="12" t="str">
        <f t="shared" si="1"/>
        <v>Smoky Docky</v>
      </c>
    </row>
    <row r="60" spans="1:31" customFormat="1" ht="15">
      <c r="A60" s="11">
        <v>164376172877898</v>
      </c>
      <c r="B60" s="12" t="b">
        <v>1</v>
      </c>
      <c r="C60" s="12" t="s">
        <v>313</v>
      </c>
      <c r="D60" s="12" t="s">
        <v>314</v>
      </c>
      <c r="E60" s="13" t="s">
        <v>315</v>
      </c>
      <c r="F60" s="12" t="s">
        <v>316</v>
      </c>
      <c r="G60" s="12">
        <v>21191609</v>
      </c>
      <c r="H60" s="12" t="s">
        <v>38</v>
      </c>
      <c r="I60" s="12" t="s">
        <v>39</v>
      </c>
      <c r="J60" s="12">
        <v>144115</v>
      </c>
      <c r="K60" s="12" t="s">
        <v>56</v>
      </c>
      <c r="L60" s="12" t="s">
        <v>266</v>
      </c>
      <c r="M60" s="12" t="s">
        <v>180</v>
      </c>
      <c r="N60" s="12" t="s">
        <v>43</v>
      </c>
      <c r="O60" s="12">
        <v>2411</v>
      </c>
      <c r="P60" s="12">
        <v>886</v>
      </c>
      <c r="Q60" s="12">
        <v>886</v>
      </c>
      <c r="R60" s="12">
        <v>886</v>
      </c>
      <c r="S60" s="12">
        <v>913.5</v>
      </c>
      <c r="T60" s="12">
        <v>78</v>
      </c>
      <c r="U60" s="12">
        <v>0</v>
      </c>
      <c r="V60" s="12" t="s">
        <v>267</v>
      </c>
      <c r="W60" s="12">
        <v>6.2</v>
      </c>
      <c r="X60" s="12" t="s">
        <v>313</v>
      </c>
      <c r="Y60" s="12" t="s">
        <v>45</v>
      </c>
      <c r="Z60" s="12" t="s">
        <v>268</v>
      </c>
      <c r="AA60" s="12" t="b">
        <v>1</v>
      </c>
      <c r="AB60" s="12">
        <v>0</v>
      </c>
      <c r="AC60" s="47">
        <f t="shared" si="0"/>
        <v>45307</v>
      </c>
      <c r="AD60" s="12" t="s">
        <v>268</v>
      </c>
      <c r="AE60" s="12" t="str">
        <f t="shared" si="1"/>
        <v>The Ganache Factory</v>
      </c>
    </row>
    <row r="61" spans="1:31" customFormat="1" ht="15">
      <c r="A61" s="14">
        <v>164376027513893</v>
      </c>
      <c r="B61" s="15" t="b">
        <v>1</v>
      </c>
      <c r="C61" s="15" t="s">
        <v>313</v>
      </c>
      <c r="D61" s="15" t="s">
        <v>317</v>
      </c>
      <c r="E61" s="16" t="s">
        <v>318</v>
      </c>
      <c r="F61" s="15" t="s">
        <v>319</v>
      </c>
      <c r="G61" s="15">
        <v>21191609</v>
      </c>
      <c r="H61" s="15" t="s">
        <v>165</v>
      </c>
      <c r="I61" s="15"/>
      <c r="J61" s="15">
        <v>15250</v>
      </c>
      <c r="K61" s="15" t="s">
        <v>56</v>
      </c>
      <c r="L61" s="15" t="s">
        <v>57</v>
      </c>
      <c r="M61" s="15" t="s">
        <v>58</v>
      </c>
      <c r="N61" s="15" t="s">
        <v>43</v>
      </c>
      <c r="O61" s="15">
        <v>0</v>
      </c>
      <c r="P61" s="15">
        <v>885</v>
      </c>
      <c r="Q61" s="15">
        <v>885</v>
      </c>
      <c r="R61" s="15">
        <v>885</v>
      </c>
      <c r="S61" s="15">
        <v>913.5</v>
      </c>
      <c r="T61" s="15">
        <v>92</v>
      </c>
      <c r="U61" s="15">
        <v>0</v>
      </c>
      <c r="V61" s="15" t="s">
        <v>59</v>
      </c>
      <c r="W61" s="15">
        <v>8.4</v>
      </c>
      <c r="X61" s="15" t="s">
        <v>313</v>
      </c>
      <c r="Y61" s="15" t="s">
        <v>45</v>
      </c>
      <c r="Z61" s="15" t="s">
        <v>60</v>
      </c>
      <c r="AA61" s="15" t="b">
        <v>0</v>
      </c>
      <c r="AB61" s="15">
        <v>0</v>
      </c>
      <c r="AC61" s="47">
        <f t="shared" si="0"/>
        <v>45307</v>
      </c>
      <c r="AD61" s="12" t="s">
        <v>60</v>
      </c>
      <c r="AE61" s="12" t="str">
        <f t="shared" si="1"/>
        <v>The Ganache Factory</v>
      </c>
    </row>
    <row r="62" spans="1:31" customFormat="1" ht="15">
      <c r="A62" s="11">
        <v>164191765873335</v>
      </c>
      <c r="B62" s="12" t="b">
        <v>1</v>
      </c>
      <c r="C62" s="12" t="s">
        <v>215</v>
      </c>
      <c r="D62" s="12" t="s">
        <v>320</v>
      </c>
      <c r="E62" s="13" t="s">
        <v>321</v>
      </c>
      <c r="F62" s="12" t="s">
        <v>322</v>
      </c>
      <c r="G62" s="12">
        <v>21191609</v>
      </c>
      <c r="H62" s="12" t="s">
        <v>38</v>
      </c>
      <c r="I62" s="12" t="s">
        <v>39</v>
      </c>
      <c r="J62" s="12">
        <v>375045</v>
      </c>
      <c r="K62" s="12" t="s">
        <v>323</v>
      </c>
      <c r="L62" s="12" t="s">
        <v>324</v>
      </c>
      <c r="M62" s="12" t="s">
        <v>290</v>
      </c>
      <c r="N62" s="12" t="s">
        <v>43</v>
      </c>
      <c r="O62" s="12">
        <v>3551</v>
      </c>
      <c r="P62" s="12">
        <v>466</v>
      </c>
      <c r="Q62" s="12">
        <v>466</v>
      </c>
      <c r="R62" s="12">
        <v>466</v>
      </c>
      <c r="S62" s="12">
        <v>496</v>
      </c>
      <c r="T62" s="12">
        <v>52</v>
      </c>
      <c r="U62" s="12">
        <v>0</v>
      </c>
      <c r="V62" s="12" t="s">
        <v>325</v>
      </c>
      <c r="W62" s="12">
        <v>5.2</v>
      </c>
      <c r="X62" s="12" t="s">
        <v>215</v>
      </c>
      <c r="Y62" s="12" t="s">
        <v>45</v>
      </c>
      <c r="Z62" s="12" t="s">
        <v>236</v>
      </c>
      <c r="AA62" s="12" t="b">
        <v>0</v>
      </c>
      <c r="AB62" s="12">
        <v>0</v>
      </c>
      <c r="AC62" s="47">
        <f t="shared" si="0"/>
        <v>45305</v>
      </c>
      <c r="AD62" s="12" t="s">
        <v>236</v>
      </c>
      <c r="AE62" s="12" t="str">
        <f t="shared" si="1"/>
        <v>Paratha Envy</v>
      </c>
    </row>
    <row r="63" spans="1:31" customFormat="1" ht="15">
      <c r="A63" s="14">
        <v>163711888473406</v>
      </c>
      <c r="B63" s="15" t="b">
        <v>0</v>
      </c>
      <c r="C63" s="15" t="s">
        <v>46</v>
      </c>
      <c r="D63" s="15" t="s">
        <v>46</v>
      </c>
      <c r="E63" s="16" t="s">
        <v>326</v>
      </c>
      <c r="F63" s="15" t="s">
        <v>327</v>
      </c>
      <c r="G63" s="15">
        <v>21191609</v>
      </c>
      <c r="H63" s="15" t="s">
        <v>38</v>
      </c>
      <c r="I63" s="15" t="s">
        <v>39</v>
      </c>
      <c r="J63" s="15">
        <v>23682</v>
      </c>
      <c r="K63" s="15" t="s">
        <v>328</v>
      </c>
      <c r="L63" s="15" t="s">
        <v>329</v>
      </c>
      <c r="M63" s="15" t="s">
        <v>103</v>
      </c>
      <c r="N63" s="15" t="s">
        <v>43</v>
      </c>
      <c r="O63" s="15">
        <v>1000</v>
      </c>
      <c r="P63" s="15">
        <v>270</v>
      </c>
      <c r="Q63" s="15">
        <v>270</v>
      </c>
      <c r="R63" s="15">
        <v>270</v>
      </c>
      <c r="S63" s="15">
        <v>220</v>
      </c>
      <c r="T63" s="15">
        <v>36</v>
      </c>
      <c r="U63" s="15">
        <v>0</v>
      </c>
      <c r="V63" s="15" t="s">
        <v>330</v>
      </c>
      <c r="W63" s="15">
        <v>0.4</v>
      </c>
      <c r="X63" s="15" t="s">
        <v>46</v>
      </c>
      <c r="Y63" s="15" t="s">
        <v>45</v>
      </c>
      <c r="Z63" s="15" t="s">
        <v>103</v>
      </c>
      <c r="AA63" s="15" t="b">
        <v>0</v>
      </c>
      <c r="AB63" s="15">
        <v>0</v>
      </c>
      <c r="AC63" s="47">
        <f t="shared" si="0"/>
        <v>45300</v>
      </c>
      <c r="AD63" s="12" t="s">
        <v>370</v>
      </c>
      <c r="AE63" s="12" t="str">
        <f t="shared" si="1"/>
        <v>McDonald's</v>
      </c>
    </row>
    <row r="64" spans="1:31" customFormat="1" ht="15">
      <c r="A64" s="11">
        <v>163004675209983</v>
      </c>
      <c r="B64" s="12" t="b">
        <v>1</v>
      </c>
      <c r="C64" s="12" t="s">
        <v>112</v>
      </c>
      <c r="D64" s="12" t="s">
        <v>331</v>
      </c>
      <c r="E64" s="13" t="s">
        <v>332</v>
      </c>
      <c r="F64" s="12" t="s">
        <v>333</v>
      </c>
      <c r="G64" s="12">
        <v>21191609</v>
      </c>
      <c r="H64" s="12" t="s">
        <v>38</v>
      </c>
      <c r="I64" s="12" t="s">
        <v>39</v>
      </c>
      <c r="J64" s="12">
        <v>144115</v>
      </c>
      <c r="K64" s="12" t="s">
        <v>56</v>
      </c>
      <c r="L64" s="12" t="s">
        <v>266</v>
      </c>
      <c r="M64" s="12" t="s">
        <v>180</v>
      </c>
      <c r="N64" s="12" t="s">
        <v>43</v>
      </c>
      <c r="O64" s="12">
        <v>2664</v>
      </c>
      <c r="P64" s="12">
        <v>342</v>
      </c>
      <c r="Q64" s="12">
        <v>342</v>
      </c>
      <c r="R64" s="12">
        <v>342</v>
      </c>
      <c r="S64" s="12">
        <v>357</v>
      </c>
      <c r="T64" s="12">
        <v>76</v>
      </c>
      <c r="U64" s="12">
        <v>0</v>
      </c>
      <c r="V64" s="12" t="s">
        <v>267</v>
      </c>
      <c r="W64" s="12">
        <v>6.2</v>
      </c>
      <c r="X64" s="12" t="s">
        <v>112</v>
      </c>
      <c r="Y64" s="12" t="s">
        <v>45</v>
      </c>
      <c r="Z64" s="12" t="s">
        <v>268</v>
      </c>
      <c r="AA64" s="12" t="b">
        <v>0</v>
      </c>
      <c r="AB64" s="12">
        <v>0</v>
      </c>
      <c r="AC64" s="47">
        <f t="shared" si="0"/>
        <v>45291</v>
      </c>
      <c r="AD64" s="12" t="s">
        <v>268</v>
      </c>
      <c r="AE64" s="12" t="str">
        <f t="shared" si="1"/>
        <v>The Ganache Factory</v>
      </c>
    </row>
    <row r="65" spans="1:31" customFormat="1" ht="15">
      <c r="A65" s="14">
        <v>163004361179135</v>
      </c>
      <c r="B65" s="15" t="b">
        <v>0</v>
      </c>
      <c r="C65" s="15" t="s">
        <v>46</v>
      </c>
      <c r="D65" s="15" t="s">
        <v>46</v>
      </c>
      <c r="E65" s="16" t="s">
        <v>334</v>
      </c>
      <c r="F65" s="15" t="s">
        <v>335</v>
      </c>
      <c r="G65" s="15">
        <v>21191609</v>
      </c>
      <c r="H65" s="15" t="s">
        <v>38</v>
      </c>
      <c r="I65" s="15" t="s">
        <v>39</v>
      </c>
      <c r="J65" s="15">
        <v>254655</v>
      </c>
      <c r="K65" s="15" t="s">
        <v>82</v>
      </c>
      <c r="L65" s="15" t="s">
        <v>240</v>
      </c>
      <c r="M65" s="15" t="s">
        <v>228</v>
      </c>
      <c r="N65" s="15" t="s">
        <v>43</v>
      </c>
      <c r="O65" s="15">
        <v>1889</v>
      </c>
      <c r="P65" s="15">
        <v>467</v>
      </c>
      <c r="Q65" s="15">
        <v>467</v>
      </c>
      <c r="R65" s="15">
        <v>467</v>
      </c>
      <c r="S65" s="15">
        <v>400</v>
      </c>
      <c r="T65" s="15">
        <v>31</v>
      </c>
      <c r="U65" s="15">
        <v>0</v>
      </c>
      <c r="V65" s="15" t="s">
        <v>336</v>
      </c>
      <c r="W65" s="15">
        <v>2.1</v>
      </c>
      <c r="X65" s="15" t="s">
        <v>46</v>
      </c>
      <c r="Y65" s="15" t="s">
        <v>45</v>
      </c>
      <c r="Z65" s="15" t="s">
        <v>103</v>
      </c>
      <c r="AA65" s="15" t="b">
        <v>0</v>
      </c>
      <c r="AB65" s="15">
        <v>0</v>
      </c>
      <c r="AC65" s="47">
        <f t="shared" si="0"/>
        <v>45291</v>
      </c>
      <c r="AD65" s="12" t="s">
        <v>370</v>
      </c>
      <c r="AE65" s="12" t="str">
        <f t="shared" si="1"/>
        <v>Daily Sushi</v>
      </c>
    </row>
    <row r="66" spans="1:31" customFormat="1" ht="15">
      <c r="A66" s="11">
        <v>162553743923962</v>
      </c>
      <c r="B66" s="12" t="b">
        <v>1</v>
      </c>
      <c r="C66" s="12" t="s">
        <v>337</v>
      </c>
      <c r="D66" s="12" t="s">
        <v>338</v>
      </c>
      <c r="E66" s="13" t="s">
        <v>339</v>
      </c>
      <c r="F66" s="12" t="s">
        <v>340</v>
      </c>
      <c r="G66" s="12">
        <v>21191609</v>
      </c>
      <c r="H66" s="12" t="s">
        <v>38</v>
      </c>
      <c r="I66" s="12" t="s">
        <v>39</v>
      </c>
      <c r="J66" s="12">
        <v>398360</v>
      </c>
      <c r="K66" s="12" t="s">
        <v>341</v>
      </c>
      <c r="L66" s="12" t="s">
        <v>342</v>
      </c>
      <c r="M66" s="12" t="s">
        <v>343</v>
      </c>
      <c r="N66" s="12" t="s">
        <v>43</v>
      </c>
      <c r="O66" s="12">
        <v>1788</v>
      </c>
      <c r="P66" s="12">
        <v>788</v>
      </c>
      <c r="Q66" s="12">
        <v>788</v>
      </c>
      <c r="R66" s="12">
        <v>788</v>
      </c>
      <c r="S66" s="12">
        <v>920</v>
      </c>
      <c r="T66" s="12">
        <v>40</v>
      </c>
      <c r="U66" s="12">
        <v>0</v>
      </c>
      <c r="V66" s="12" t="s">
        <v>344</v>
      </c>
      <c r="W66" s="12">
        <v>2.8</v>
      </c>
      <c r="X66" s="12" t="s">
        <v>337</v>
      </c>
      <c r="Y66" s="12" t="s">
        <v>45</v>
      </c>
      <c r="Z66" s="12" t="s">
        <v>345</v>
      </c>
      <c r="AA66" s="12" t="b">
        <v>0</v>
      </c>
      <c r="AB66" s="12">
        <v>0</v>
      </c>
      <c r="AC66" s="47">
        <f t="shared" si="0"/>
        <v>45286</v>
      </c>
      <c r="AD66" s="12" t="s">
        <v>645</v>
      </c>
      <c r="AE66" s="12" t="str">
        <f t="shared" si="1"/>
        <v>Burger Seigneur</v>
      </c>
    </row>
    <row r="67" spans="1:31" customFormat="1" ht="15">
      <c r="A67" s="14">
        <v>162461263812077</v>
      </c>
      <c r="B67" s="15" t="b">
        <v>1</v>
      </c>
      <c r="C67" s="15" t="s">
        <v>52</v>
      </c>
      <c r="D67" s="15" t="s">
        <v>346</v>
      </c>
      <c r="E67" s="16" t="s">
        <v>347</v>
      </c>
      <c r="F67" s="15" t="s">
        <v>348</v>
      </c>
      <c r="G67" s="15">
        <v>21191609</v>
      </c>
      <c r="H67" s="15" t="s">
        <v>38</v>
      </c>
      <c r="I67" s="15" t="s">
        <v>39</v>
      </c>
      <c r="J67" s="15">
        <v>398360</v>
      </c>
      <c r="K67" s="15" t="s">
        <v>341</v>
      </c>
      <c r="L67" s="15" t="s">
        <v>342</v>
      </c>
      <c r="M67" s="15" t="s">
        <v>343</v>
      </c>
      <c r="N67" s="15" t="s">
        <v>43</v>
      </c>
      <c r="O67" s="15">
        <v>1389</v>
      </c>
      <c r="P67" s="15">
        <v>372</v>
      </c>
      <c r="Q67" s="15">
        <v>372</v>
      </c>
      <c r="R67" s="15">
        <v>372</v>
      </c>
      <c r="S67" s="15">
        <v>430</v>
      </c>
      <c r="T67" s="15">
        <v>40</v>
      </c>
      <c r="U67" s="15">
        <v>0</v>
      </c>
      <c r="V67" s="15" t="s">
        <v>344</v>
      </c>
      <c r="W67" s="15">
        <v>2.7</v>
      </c>
      <c r="X67" s="15" t="s">
        <v>52</v>
      </c>
      <c r="Y67" s="15" t="s">
        <v>45</v>
      </c>
      <c r="Z67" s="15" t="s">
        <v>345</v>
      </c>
      <c r="AA67" s="15" t="b">
        <v>1</v>
      </c>
      <c r="AB67" s="15">
        <v>0</v>
      </c>
      <c r="AC67" s="47">
        <f t="shared" ref="AC67:AC108" si="2">DATEVALUE($E67)</f>
        <v>45285</v>
      </c>
      <c r="AD67" s="12" t="s">
        <v>645</v>
      </c>
      <c r="AE67" s="12" t="str">
        <f t="shared" ref="AE67:AE108" si="3">IFERROR( LEFT($K67, FIND(" -", K67)-1), $K67)</f>
        <v>Burger Seigneur</v>
      </c>
    </row>
    <row r="68" spans="1:31" customFormat="1" ht="15">
      <c r="A68" s="11">
        <v>161080636531967</v>
      </c>
      <c r="B68" s="12" t="b">
        <v>1</v>
      </c>
      <c r="C68" s="12" t="s">
        <v>34</v>
      </c>
      <c r="D68" s="12" t="s">
        <v>349</v>
      </c>
      <c r="E68" s="13" t="s">
        <v>350</v>
      </c>
      <c r="F68" s="12" t="s">
        <v>351</v>
      </c>
      <c r="G68" s="12">
        <v>21191609</v>
      </c>
      <c r="H68" s="12" t="s">
        <v>38</v>
      </c>
      <c r="I68" s="12" t="s">
        <v>39</v>
      </c>
      <c r="J68" s="12">
        <v>2675</v>
      </c>
      <c r="K68" s="12" t="s">
        <v>211</v>
      </c>
      <c r="L68" s="12" t="s">
        <v>212</v>
      </c>
      <c r="M68" s="12" t="s">
        <v>101</v>
      </c>
      <c r="N68" s="12" t="s">
        <v>43</v>
      </c>
      <c r="O68" s="12">
        <v>1080</v>
      </c>
      <c r="P68" s="12">
        <v>355</v>
      </c>
      <c r="Q68" s="12">
        <v>355</v>
      </c>
      <c r="R68" s="12">
        <v>355</v>
      </c>
      <c r="S68" s="12">
        <v>399</v>
      </c>
      <c r="T68" s="12">
        <v>33</v>
      </c>
      <c r="U68" s="12">
        <v>0</v>
      </c>
      <c r="V68" s="12" t="s">
        <v>213</v>
      </c>
      <c r="W68" s="12">
        <v>1.9</v>
      </c>
      <c r="X68" s="12" t="s">
        <v>34</v>
      </c>
      <c r="Y68" s="12" t="s">
        <v>45</v>
      </c>
      <c r="Z68" s="12" t="s">
        <v>214</v>
      </c>
      <c r="AA68" s="12" t="b">
        <v>1</v>
      </c>
      <c r="AB68" s="12">
        <v>0</v>
      </c>
      <c r="AC68" s="47">
        <f t="shared" si="2"/>
        <v>45269</v>
      </c>
      <c r="AD68" s="12" t="s">
        <v>370</v>
      </c>
      <c r="AE68" s="12" t="str">
        <f t="shared" si="3"/>
        <v>Subway</v>
      </c>
    </row>
    <row r="69" spans="1:31" customFormat="1" ht="15">
      <c r="A69" s="14">
        <v>160474594456670</v>
      </c>
      <c r="B69" s="15" t="b">
        <v>1</v>
      </c>
      <c r="C69" s="15" t="s">
        <v>52</v>
      </c>
      <c r="D69" s="15" t="s">
        <v>352</v>
      </c>
      <c r="E69" s="16" t="s">
        <v>353</v>
      </c>
      <c r="F69" s="15" t="s">
        <v>354</v>
      </c>
      <c r="G69" s="15">
        <v>21191609</v>
      </c>
      <c r="H69" s="15" t="s">
        <v>38</v>
      </c>
      <c r="I69" s="15" t="s">
        <v>39</v>
      </c>
      <c r="J69" s="15">
        <v>2675</v>
      </c>
      <c r="K69" s="15" t="s">
        <v>211</v>
      </c>
      <c r="L69" s="15" t="s">
        <v>212</v>
      </c>
      <c r="M69" s="15" t="s">
        <v>101</v>
      </c>
      <c r="N69" s="15" t="s">
        <v>43</v>
      </c>
      <c r="O69" s="15">
        <v>2671</v>
      </c>
      <c r="P69" s="15">
        <v>354</v>
      </c>
      <c r="Q69" s="15">
        <v>354</v>
      </c>
      <c r="R69" s="15">
        <v>354</v>
      </c>
      <c r="S69" s="15">
        <v>398</v>
      </c>
      <c r="T69" s="15">
        <v>32</v>
      </c>
      <c r="U69" s="15">
        <v>0</v>
      </c>
      <c r="V69" s="15" t="s">
        <v>213</v>
      </c>
      <c r="W69" s="15">
        <v>1.9</v>
      </c>
      <c r="X69" s="15" t="s">
        <v>52</v>
      </c>
      <c r="Y69" s="15" t="s">
        <v>45</v>
      </c>
      <c r="Z69" s="15" t="s">
        <v>214</v>
      </c>
      <c r="AA69" s="15" t="b">
        <v>0</v>
      </c>
      <c r="AB69" s="15">
        <v>0</v>
      </c>
      <c r="AC69" s="47">
        <f t="shared" si="2"/>
        <v>45262</v>
      </c>
      <c r="AD69" s="12" t="s">
        <v>370</v>
      </c>
      <c r="AE69" s="12" t="str">
        <f t="shared" si="3"/>
        <v>Subway</v>
      </c>
    </row>
    <row r="70" spans="1:31" customFormat="1" ht="15">
      <c r="A70" s="11">
        <v>159955886050893</v>
      </c>
      <c r="B70" s="12" t="b">
        <v>1</v>
      </c>
      <c r="C70" s="12" t="s">
        <v>34</v>
      </c>
      <c r="D70" s="12" t="s">
        <v>355</v>
      </c>
      <c r="E70" s="13" t="s">
        <v>356</v>
      </c>
      <c r="F70" s="12" t="s">
        <v>357</v>
      </c>
      <c r="G70" s="12">
        <v>21191609</v>
      </c>
      <c r="H70" s="12" t="s">
        <v>38</v>
      </c>
      <c r="I70" s="12" t="s">
        <v>39</v>
      </c>
      <c r="J70" s="12">
        <v>81810</v>
      </c>
      <c r="K70" s="12" t="s">
        <v>358</v>
      </c>
      <c r="L70" s="12" t="s">
        <v>359</v>
      </c>
      <c r="M70" s="12" t="s">
        <v>360</v>
      </c>
      <c r="N70" s="12" t="s">
        <v>43</v>
      </c>
      <c r="O70" s="12">
        <v>1550</v>
      </c>
      <c r="P70" s="12">
        <v>284</v>
      </c>
      <c r="Q70" s="12">
        <v>284</v>
      </c>
      <c r="R70" s="12">
        <v>284</v>
      </c>
      <c r="S70" s="12">
        <v>375</v>
      </c>
      <c r="T70" s="12">
        <v>41</v>
      </c>
      <c r="U70" s="12">
        <v>0</v>
      </c>
      <c r="V70" s="12" t="s">
        <v>361</v>
      </c>
      <c r="W70" s="12">
        <v>3.3</v>
      </c>
      <c r="X70" s="12" t="s">
        <v>34</v>
      </c>
      <c r="Y70" s="12" t="s">
        <v>45</v>
      </c>
      <c r="Z70" s="12" t="s">
        <v>362</v>
      </c>
      <c r="AA70" s="12" t="b">
        <v>0</v>
      </c>
      <c r="AB70" s="12">
        <v>0</v>
      </c>
      <c r="AC70" s="47">
        <f t="shared" si="2"/>
        <v>45256</v>
      </c>
      <c r="AD70" s="12" t="s">
        <v>362</v>
      </c>
      <c r="AE70" s="12" t="str">
        <f t="shared" si="3"/>
        <v>Tharavadu family restaurant</v>
      </c>
    </row>
    <row r="71" spans="1:31" customFormat="1" ht="15">
      <c r="A71" s="14">
        <v>159700431113615</v>
      </c>
      <c r="B71" s="15" t="b">
        <v>1</v>
      </c>
      <c r="C71" s="15" t="s">
        <v>215</v>
      </c>
      <c r="D71" s="15" t="s">
        <v>363</v>
      </c>
      <c r="E71" s="16" t="s">
        <v>364</v>
      </c>
      <c r="F71" s="15" t="s">
        <v>365</v>
      </c>
      <c r="G71" s="15">
        <v>21191609</v>
      </c>
      <c r="H71" s="15" t="s">
        <v>38</v>
      </c>
      <c r="I71" s="15" t="s">
        <v>39</v>
      </c>
      <c r="J71" s="15">
        <v>700113</v>
      </c>
      <c r="K71" s="15" t="s">
        <v>366</v>
      </c>
      <c r="L71" s="15" t="s">
        <v>367</v>
      </c>
      <c r="M71" s="15" t="s">
        <v>368</v>
      </c>
      <c r="N71" s="15" t="s">
        <v>43</v>
      </c>
      <c r="O71" s="15">
        <v>1673</v>
      </c>
      <c r="P71" s="15">
        <v>455</v>
      </c>
      <c r="Q71" s="15">
        <v>455</v>
      </c>
      <c r="R71" s="15">
        <v>455</v>
      </c>
      <c r="S71" s="15">
        <v>530</v>
      </c>
      <c r="T71" s="15">
        <v>29</v>
      </c>
      <c r="U71" s="15">
        <v>0</v>
      </c>
      <c r="V71" s="15" t="s">
        <v>369</v>
      </c>
      <c r="W71" s="15">
        <v>2.2999999999999998</v>
      </c>
      <c r="X71" s="15" t="s">
        <v>215</v>
      </c>
      <c r="Y71" s="15" t="s">
        <v>45</v>
      </c>
      <c r="Z71" s="15" t="s">
        <v>370</v>
      </c>
      <c r="AA71" s="15" t="b">
        <v>0</v>
      </c>
      <c r="AB71" s="15">
        <v>0</v>
      </c>
      <c r="AC71" s="47">
        <f t="shared" si="2"/>
        <v>45253</v>
      </c>
      <c r="AD71" s="12" t="s">
        <v>370</v>
      </c>
      <c r="AE71" s="12" t="str">
        <f t="shared" si="3"/>
        <v>The Best Thickshakes Co</v>
      </c>
    </row>
    <row r="72" spans="1:31" customFormat="1" ht="15">
      <c r="A72" s="11">
        <v>159024606634682</v>
      </c>
      <c r="B72" s="12" t="b">
        <v>1</v>
      </c>
      <c r="C72" s="12" t="s">
        <v>371</v>
      </c>
      <c r="D72" s="12" t="s">
        <v>372</v>
      </c>
      <c r="E72" s="13" t="s">
        <v>373</v>
      </c>
      <c r="F72" s="12" t="s">
        <v>374</v>
      </c>
      <c r="G72" s="12">
        <v>21191609</v>
      </c>
      <c r="H72" s="12" t="s">
        <v>38</v>
      </c>
      <c r="I72" s="12" t="s">
        <v>39</v>
      </c>
      <c r="J72" s="12">
        <v>81810</v>
      </c>
      <c r="K72" s="12" t="s">
        <v>358</v>
      </c>
      <c r="L72" s="12" t="s">
        <v>359</v>
      </c>
      <c r="M72" s="12" t="s">
        <v>360</v>
      </c>
      <c r="N72" s="12" t="s">
        <v>43</v>
      </c>
      <c r="O72" s="12">
        <v>2047</v>
      </c>
      <c r="P72" s="12">
        <v>380</v>
      </c>
      <c r="Q72" s="12">
        <v>380</v>
      </c>
      <c r="R72" s="12">
        <v>380</v>
      </c>
      <c r="S72" s="12">
        <v>540</v>
      </c>
      <c r="T72" s="12">
        <v>44</v>
      </c>
      <c r="U72" s="12">
        <v>0</v>
      </c>
      <c r="V72" s="12" t="s">
        <v>361</v>
      </c>
      <c r="W72" s="12">
        <v>3.3</v>
      </c>
      <c r="X72" s="12" t="s">
        <v>371</v>
      </c>
      <c r="Y72" s="12" t="s">
        <v>45</v>
      </c>
      <c r="Z72" s="12" t="s">
        <v>362</v>
      </c>
      <c r="AA72" s="12" t="b">
        <v>0</v>
      </c>
      <c r="AB72" s="12">
        <v>0</v>
      </c>
      <c r="AC72" s="47">
        <f t="shared" si="2"/>
        <v>45245</v>
      </c>
      <c r="AD72" s="12" t="s">
        <v>362</v>
      </c>
      <c r="AE72" s="12" t="str">
        <f t="shared" si="3"/>
        <v>Tharavadu family restaurant</v>
      </c>
    </row>
    <row r="73" spans="1:31" customFormat="1" ht="15">
      <c r="A73" s="14">
        <v>158421216354293</v>
      </c>
      <c r="B73" s="15" t="b">
        <v>0</v>
      </c>
      <c r="C73" s="15" t="s">
        <v>46</v>
      </c>
      <c r="D73" s="15" t="s">
        <v>46</v>
      </c>
      <c r="E73" s="16" t="s">
        <v>375</v>
      </c>
      <c r="F73" s="15" t="s">
        <v>376</v>
      </c>
      <c r="G73" s="15">
        <v>21191609</v>
      </c>
      <c r="H73" s="15" t="s">
        <v>38</v>
      </c>
      <c r="I73" s="15" t="s">
        <v>39</v>
      </c>
      <c r="J73" s="15">
        <v>244004</v>
      </c>
      <c r="K73" s="15" t="s">
        <v>377</v>
      </c>
      <c r="L73" s="15" t="s">
        <v>378</v>
      </c>
      <c r="M73" s="15" t="s">
        <v>379</v>
      </c>
      <c r="N73" s="15" t="s">
        <v>43</v>
      </c>
      <c r="O73" s="15">
        <v>2006</v>
      </c>
      <c r="P73" s="15">
        <v>221</v>
      </c>
      <c r="Q73" s="15">
        <v>221</v>
      </c>
      <c r="R73" s="15">
        <v>221</v>
      </c>
      <c r="S73" s="15">
        <v>268</v>
      </c>
      <c r="T73" s="15">
        <v>32</v>
      </c>
      <c r="U73" s="15">
        <v>0</v>
      </c>
      <c r="V73" s="15" t="s">
        <v>380</v>
      </c>
      <c r="W73" s="15">
        <v>2.1</v>
      </c>
      <c r="X73" s="15" t="s">
        <v>46</v>
      </c>
      <c r="Y73" s="15" t="s">
        <v>45</v>
      </c>
      <c r="Z73" s="15" t="s">
        <v>103</v>
      </c>
      <c r="AA73" s="15" t="b">
        <v>0</v>
      </c>
      <c r="AB73" s="15">
        <v>0</v>
      </c>
      <c r="AC73" s="47">
        <f t="shared" si="2"/>
        <v>45238</v>
      </c>
      <c r="AD73" s="12" t="s">
        <v>370</v>
      </c>
      <c r="AE73" s="12" t="str">
        <f t="shared" si="3"/>
        <v>Wow! Momo</v>
      </c>
    </row>
    <row r="74" spans="1:31" customFormat="1" ht="15">
      <c r="A74" s="11">
        <v>158334414702466</v>
      </c>
      <c r="B74" s="12" t="b">
        <v>0</v>
      </c>
      <c r="C74" s="12" t="s">
        <v>46</v>
      </c>
      <c r="D74" s="12" t="s">
        <v>46</v>
      </c>
      <c r="E74" s="13" t="s">
        <v>381</v>
      </c>
      <c r="F74" s="12" t="s">
        <v>382</v>
      </c>
      <c r="G74" s="12">
        <v>21191609</v>
      </c>
      <c r="H74" s="12" t="s">
        <v>38</v>
      </c>
      <c r="I74" s="12" t="s">
        <v>39</v>
      </c>
      <c r="J74" s="12">
        <v>742267</v>
      </c>
      <c r="K74" s="12" t="s">
        <v>40</v>
      </c>
      <c r="L74" s="12" t="s">
        <v>177</v>
      </c>
      <c r="M74" s="12" t="s">
        <v>383</v>
      </c>
      <c r="N74" s="12" t="s">
        <v>43</v>
      </c>
      <c r="O74" s="12">
        <v>3013</v>
      </c>
      <c r="P74" s="12">
        <v>287</v>
      </c>
      <c r="Q74" s="12">
        <v>287</v>
      </c>
      <c r="R74" s="12">
        <v>287</v>
      </c>
      <c r="S74" s="12">
        <v>245</v>
      </c>
      <c r="T74" s="12">
        <v>72</v>
      </c>
      <c r="U74" s="12">
        <v>0</v>
      </c>
      <c r="V74" s="12" t="s">
        <v>384</v>
      </c>
      <c r="W74" s="12">
        <v>5.4</v>
      </c>
      <c r="X74" s="12" t="s">
        <v>46</v>
      </c>
      <c r="Y74" s="12" t="s">
        <v>45</v>
      </c>
      <c r="Z74" s="12" t="s">
        <v>180</v>
      </c>
      <c r="AA74" s="12" t="b">
        <v>0</v>
      </c>
      <c r="AB74" s="12">
        <v>2</v>
      </c>
      <c r="AC74" s="47">
        <f t="shared" si="2"/>
        <v>45237</v>
      </c>
      <c r="AD74" s="12" t="s">
        <v>173</v>
      </c>
      <c r="AE74" s="12" t="str">
        <f t="shared" si="3"/>
        <v>Paris Panini</v>
      </c>
    </row>
    <row r="75" spans="1:31" customFormat="1" ht="15">
      <c r="A75" s="14">
        <v>158133339719955</v>
      </c>
      <c r="B75" s="15" t="b">
        <v>1</v>
      </c>
      <c r="C75" s="15" t="s">
        <v>385</v>
      </c>
      <c r="D75" s="15" t="s">
        <v>386</v>
      </c>
      <c r="E75" s="16" t="s">
        <v>387</v>
      </c>
      <c r="F75" s="15" t="s">
        <v>388</v>
      </c>
      <c r="G75" s="15">
        <v>21191609</v>
      </c>
      <c r="H75" s="15" t="s">
        <v>38</v>
      </c>
      <c r="I75" s="15" t="s">
        <v>39</v>
      </c>
      <c r="J75" s="15">
        <v>17036</v>
      </c>
      <c r="K75" s="15" t="s">
        <v>196</v>
      </c>
      <c r="L75" s="15" t="s">
        <v>197</v>
      </c>
      <c r="M75" s="15" t="s">
        <v>103</v>
      </c>
      <c r="N75" s="15" t="s">
        <v>43</v>
      </c>
      <c r="O75" s="15">
        <v>1495</v>
      </c>
      <c r="P75" s="15">
        <v>251</v>
      </c>
      <c r="Q75" s="15">
        <v>251</v>
      </c>
      <c r="R75" s="15">
        <v>251</v>
      </c>
      <c r="S75" s="15">
        <v>349</v>
      </c>
      <c r="T75" s="15">
        <v>31</v>
      </c>
      <c r="U75" s="15">
        <v>0</v>
      </c>
      <c r="V75" s="15" t="s">
        <v>389</v>
      </c>
      <c r="W75" s="15">
        <v>1.6</v>
      </c>
      <c r="X75" s="15" t="s">
        <v>385</v>
      </c>
      <c r="Y75" s="15" t="s">
        <v>45</v>
      </c>
      <c r="Z75" s="15" t="s">
        <v>103</v>
      </c>
      <c r="AA75" s="15" t="b">
        <v>0</v>
      </c>
      <c r="AB75" s="15">
        <v>0</v>
      </c>
      <c r="AC75" s="47">
        <f t="shared" si="2"/>
        <v>45235</v>
      </c>
      <c r="AD75" s="12" t="s">
        <v>370</v>
      </c>
      <c r="AE75" s="12" t="str">
        <f t="shared" si="3"/>
        <v>Leon's</v>
      </c>
    </row>
    <row r="76" spans="1:31" customFormat="1" ht="15">
      <c r="A76" s="11">
        <v>158078123542130</v>
      </c>
      <c r="B76" s="12" t="b">
        <v>1</v>
      </c>
      <c r="C76" s="12" t="s">
        <v>385</v>
      </c>
      <c r="D76" s="12" t="s">
        <v>390</v>
      </c>
      <c r="E76" s="13" t="s">
        <v>391</v>
      </c>
      <c r="F76" s="12" t="s">
        <v>392</v>
      </c>
      <c r="G76" s="12">
        <v>21191609</v>
      </c>
      <c r="H76" s="12" t="s">
        <v>38</v>
      </c>
      <c r="I76" s="12" t="s">
        <v>39</v>
      </c>
      <c r="J76" s="12">
        <v>254655</v>
      </c>
      <c r="K76" s="12" t="s">
        <v>82</v>
      </c>
      <c r="L76" s="12" t="s">
        <v>240</v>
      </c>
      <c r="M76" s="12" t="s">
        <v>228</v>
      </c>
      <c r="N76" s="12" t="s">
        <v>43</v>
      </c>
      <c r="O76" s="12">
        <v>2736</v>
      </c>
      <c r="P76" s="12">
        <v>333</v>
      </c>
      <c r="Q76" s="12">
        <v>333</v>
      </c>
      <c r="R76" s="12">
        <v>333</v>
      </c>
      <c r="S76" s="12">
        <v>420</v>
      </c>
      <c r="T76" s="12">
        <v>40</v>
      </c>
      <c r="U76" s="12">
        <v>0</v>
      </c>
      <c r="V76" s="12" t="s">
        <v>336</v>
      </c>
      <c r="W76" s="12">
        <v>2.1</v>
      </c>
      <c r="X76" s="12" t="s">
        <v>385</v>
      </c>
      <c r="Y76" s="12" t="s">
        <v>45</v>
      </c>
      <c r="Z76" s="12" t="s">
        <v>103</v>
      </c>
      <c r="AA76" s="12" t="b">
        <v>1</v>
      </c>
      <c r="AB76" s="12">
        <v>0</v>
      </c>
      <c r="AC76" s="47">
        <f t="shared" si="2"/>
        <v>45234</v>
      </c>
      <c r="AD76" s="12" t="s">
        <v>370</v>
      </c>
      <c r="AE76" s="12" t="str">
        <f t="shared" si="3"/>
        <v>Daily Sushi</v>
      </c>
    </row>
    <row r="77" spans="1:31" customFormat="1" ht="15">
      <c r="A77" s="14">
        <v>158041541026826</v>
      </c>
      <c r="B77" s="15" t="b">
        <v>0</v>
      </c>
      <c r="C77" s="15" t="s">
        <v>46</v>
      </c>
      <c r="D77" s="15" t="s">
        <v>46</v>
      </c>
      <c r="E77" s="16" t="s">
        <v>393</v>
      </c>
      <c r="F77" s="15" t="s">
        <v>394</v>
      </c>
      <c r="G77" s="15">
        <v>21191609</v>
      </c>
      <c r="H77" s="15" t="s">
        <v>38</v>
      </c>
      <c r="I77" s="15" t="s">
        <v>39</v>
      </c>
      <c r="J77" s="15">
        <v>62430</v>
      </c>
      <c r="K77" s="15" t="s">
        <v>395</v>
      </c>
      <c r="L77" s="15" t="s">
        <v>396</v>
      </c>
      <c r="M77" s="15" t="s">
        <v>101</v>
      </c>
      <c r="N77" s="15" t="s">
        <v>43</v>
      </c>
      <c r="O77" s="15">
        <v>2540</v>
      </c>
      <c r="P77" s="15">
        <v>191</v>
      </c>
      <c r="Q77" s="15">
        <v>191</v>
      </c>
      <c r="R77" s="15">
        <v>191</v>
      </c>
      <c r="S77" s="15">
        <v>169</v>
      </c>
      <c r="T77" s="15">
        <v>33</v>
      </c>
      <c r="U77" s="15">
        <v>0</v>
      </c>
      <c r="V77" s="15" t="s">
        <v>397</v>
      </c>
      <c r="W77" s="15">
        <v>2.1</v>
      </c>
      <c r="X77" s="15" t="s">
        <v>46</v>
      </c>
      <c r="Y77" s="15" t="s">
        <v>45</v>
      </c>
      <c r="Z77" s="15" t="s">
        <v>103</v>
      </c>
      <c r="AA77" s="15" t="b">
        <v>0</v>
      </c>
      <c r="AB77" s="15">
        <v>0</v>
      </c>
      <c r="AC77" s="47">
        <f t="shared" si="2"/>
        <v>45234</v>
      </c>
      <c r="AD77" s="12" t="s">
        <v>370</v>
      </c>
      <c r="AE77" s="12" t="str">
        <f t="shared" si="3"/>
        <v>Dosa Chicken &amp; Tiffins</v>
      </c>
    </row>
    <row r="78" spans="1:31" customFormat="1" ht="15">
      <c r="A78" s="11">
        <v>157279336071863</v>
      </c>
      <c r="B78" s="12" t="b">
        <v>1</v>
      </c>
      <c r="C78" s="12" t="s">
        <v>34</v>
      </c>
      <c r="D78" s="12" t="s">
        <v>398</v>
      </c>
      <c r="E78" s="13" t="s">
        <v>399</v>
      </c>
      <c r="F78" s="12" t="s">
        <v>400</v>
      </c>
      <c r="G78" s="12">
        <v>21191609</v>
      </c>
      <c r="H78" s="12" t="s">
        <v>38</v>
      </c>
      <c r="I78" s="12" t="s">
        <v>39</v>
      </c>
      <c r="J78" s="12">
        <v>17036</v>
      </c>
      <c r="K78" s="12" t="s">
        <v>196</v>
      </c>
      <c r="L78" s="12" t="s">
        <v>197</v>
      </c>
      <c r="M78" s="12" t="s">
        <v>103</v>
      </c>
      <c r="N78" s="12" t="s">
        <v>43</v>
      </c>
      <c r="O78" s="12">
        <v>782</v>
      </c>
      <c r="P78" s="12">
        <v>298</v>
      </c>
      <c r="Q78" s="12">
        <v>298</v>
      </c>
      <c r="R78" s="12">
        <v>298</v>
      </c>
      <c r="S78" s="12">
        <v>295.86</v>
      </c>
      <c r="T78" s="12">
        <v>30</v>
      </c>
      <c r="U78" s="12">
        <v>0</v>
      </c>
      <c r="V78" s="12" t="s">
        <v>389</v>
      </c>
      <c r="W78" s="12">
        <v>0.2</v>
      </c>
      <c r="X78" s="12" t="s">
        <v>34</v>
      </c>
      <c r="Y78" s="12" t="s">
        <v>45</v>
      </c>
      <c r="Z78" s="12" t="s">
        <v>103</v>
      </c>
      <c r="AA78" s="12" t="b">
        <v>1</v>
      </c>
      <c r="AB78" s="12">
        <v>0</v>
      </c>
      <c r="AC78" s="47">
        <f t="shared" si="2"/>
        <v>45225</v>
      </c>
      <c r="AD78" s="12" t="s">
        <v>370</v>
      </c>
      <c r="AE78" s="12" t="str">
        <f t="shared" si="3"/>
        <v>Leon's</v>
      </c>
    </row>
    <row r="79" spans="1:31" customFormat="1" ht="15">
      <c r="A79" s="14">
        <v>157212479386394</v>
      </c>
      <c r="B79" s="15" t="b">
        <v>0</v>
      </c>
      <c r="C79" s="15" t="s">
        <v>46</v>
      </c>
      <c r="D79" s="15" t="s">
        <v>46</v>
      </c>
      <c r="E79" s="16" t="s">
        <v>401</v>
      </c>
      <c r="F79" s="15" t="s">
        <v>402</v>
      </c>
      <c r="G79" s="15">
        <v>21191609</v>
      </c>
      <c r="H79" s="15" t="s">
        <v>38</v>
      </c>
      <c r="I79" s="15" t="s">
        <v>39</v>
      </c>
      <c r="J79" s="15">
        <v>488099</v>
      </c>
      <c r="K79" s="15" t="s">
        <v>403</v>
      </c>
      <c r="L79" s="15" t="s">
        <v>404</v>
      </c>
      <c r="M79" s="15" t="s">
        <v>302</v>
      </c>
      <c r="N79" s="15" t="s">
        <v>43</v>
      </c>
      <c r="O79" s="15">
        <v>661</v>
      </c>
      <c r="P79" s="15">
        <v>167</v>
      </c>
      <c r="Q79" s="15">
        <v>167</v>
      </c>
      <c r="R79" s="15">
        <v>167</v>
      </c>
      <c r="S79" s="15">
        <v>149</v>
      </c>
      <c r="T79" s="15">
        <v>42</v>
      </c>
      <c r="U79" s="15">
        <v>0</v>
      </c>
      <c r="V79" s="15" t="s">
        <v>405</v>
      </c>
      <c r="W79" s="15">
        <v>0.6</v>
      </c>
      <c r="X79" s="15" t="s">
        <v>46</v>
      </c>
      <c r="Y79" s="15" t="s">
        <v>45</v>
      </c>
      <c r="Z79" s="15" t="s">
        <v>103</v>
      </c>
      <c r="AA79" s="15" t="b">
        <v>1</v>
      </c>
      <c r="AB79" s="15">
        <v>0</v>
      </c>
      <c r="AC79" s="47">
        <f t="shared" si="2"/>
        <v>45224</v>
      </c>
      <c r="AD79" s="12" t="s">
        <v>370</v>
      </c>
      <c r="AE79" s="12" t="str">
        <f t="shared" si="3"/>
        <v>The Himalayan Momo Company</v>
      </c>
    </row>
    <row r="80" spans="1:31" customFormat="1" ht="15">
      <c r="A80" s="11">
        <v>157095860714592</v>
      </c>
      <c r="B80" s="12" t="b">
        <v>1</v>
      </c>
      <c r="C80" s="12" t="s">
        <v>406</v>
      </c>
      <c r="D80" s="12" t="s">
        <v>407</v>
      </c>
      <c r="E80" s="13" t="s">
        <v>408</v>
      </c>
      <c r="F80" s="12" t="s">
        <v>409</v>
      </c>
      <c r="G80" s="12">
        <v>21191609</v>
      </c>
      <c r="H80" s="12" t="s">
        <v>38</v>
      </c>
      <c r="I80" s="12" t="s">
        <v>39</v>
      </c>
      <c r="J80" s="12">
        <v>348329</v>
      </c>
      <c r="K80" s="12" t="s">
        <v>323</v>
      </c>
      <c r="L80" s="12" t="s">
        <v>410</v>
      </c>
      <c r="M80" s="12" t="s">
        <v>284</v>
      </c>
      <c r="N80" s="12" t="s">
        <v>43</v>
      </c>
      <c r="O80" s="12">
        <v>2007</v>
      </c>
      <c r="P80" s="12">
        <v>300</v>
      </c>
      <c r="Q80" s="12">
        <v>300</v>
      </c>
      <c r="R80" s="12">
        <v>300</v>
      </c>
      <c r="S80" s="12">
        <v>357</v>
      </c>
      <c r="T80" s="12">
        <v>41</v>
      </c>
      <c r="U80" s="12">
        <v>0</v>
      </c>
      <c r="V80" s="12" t="s">
        <v>411</v>
      </c>
      <c r="W80" s="12">
        <v>5</v>
      </c>
      <c r="X80" s="12" t="s">
        <v>406</v>
      </c>
      <c r="Y80" s="12" t="s">
        <v>412</v>
      </c>
      <c r="Z80" s="12" t="s">
        <v>178</v>
      </c>
      <c r="AA80" s="12" t="b">
        <v>1</v>
      </c>
      <c r="AB80" s="12">
        <v>0</v>
      </c>
      <c r="AC80" s="47">
        <f t="shared" si="2"/>
        <v>45223</v>
      </c>
      <c r="AD80" s="12" t="s">
        <v>173</v>
      </c>
      <c r="AE80" s="12" t="str">
        <f t="shared" si="3"/>
        <v>Paratha Envy</v>
      </c>
    </row>
    <row r="81" spans="1:31" customFormat="1" ht="15">
      <c r="A81" s="14">
        <v>156956128612767</v>
      </c>
      <c r="B81" s="15" t="b">
        <v>1</v>
      </c>
      <c r="C81" s="15" t="s">
        <v>385</v>
      </c>
      <c r="D81" s="15" t="s">
        <v>413</v>
      </c>
      <c r="E81" s="16" t="s">
        <v>414</v>
      </c>
      <c r="F81" s="15" t="s">
        <v>415</v>
      </c>
      <c r="G81" s="15">
        <v>21191609</v>
      </c>
      <c r="H81" s="15" t="s">
        <v>38</v>
      </c>
      <c r="I81" s="15" t="s">
        <v>39</v>
      </c>
      <c r="J81" s="15">
        <v>17036</v>
      </c>
      <c r="K81" s="15" t="s">
        <v>196</v>
      </c>
      <c r="L81" s="15" t="s">
        <v>197</v>
      </c>
      <c r="M81" s="15" t="s">
        <v>103</v>
      </c>
      <c r="N81" s="15" t="s">
        <v>43</v>
      </c>
      <c r="O81" s="15">
        <v>927</v>
      </c>
      <c r="P81" s="15">
        <v>221</v>
      </c>
      <c r="Q81" s="15">
        <v>221</v>
      </c>
      <c r="R81" s="15">
        <v>221</v>
      </c>
      <c r="S81" s="15">
        <v>320.86</v>
      </c>
      <c r="T81" s="15">
        <v>33</v>
      </c>
      <c r="U81" s="15">
        <v>0</v>
      </c>
      <c r="V81" s="15" t="s">
        <v>389</v>
      </c>
      <c r="W81" s="15">
        <v>1.3</v>
      </c>
      <c r="X81" s="15" t="s">
        <v>385</v>
      </c>
      <c r="Y81" s="15" t="s">
        <v>412</v>
      </c>
      <c r="Z81" s="15" t="s">
        <v>103</v>
      </c>
      <c r="AA81" s="15" t="b">
        <v>0</v>
      </c>
      <c r="AB81" s="15">
        <v>0</v>
      </c>
      <c r="AC81" s="47">
        <f t="shared" si="2"/>
        <v>45221</v>
      </c>
      <c r="AD81" s="12" t="s">
        <v>370</v>
      </c>
      <c r="AE81" s="12" t="str">
        <f t="shared" si="3"/>
        <v>Leon's</v>
      </c>
    </row>
    <row r="82" spans="1:31" customFormat="1" ht="15">
      <c r="A82" s="11">
        <v>156923241346336</v>
      </c>
      <c r="B82" s="12" t="b">
        <v>1</v>
      </c>
      <c r="C82" s="12" t="s">
        <v>385</v>
      </c>
      <c r="D82" s="12" t="s">
        <v>416</v>
      </c>
      <c r="E82" s="13" t="s">
        <v>417</v>
      </c>
      <c r="F82" s="12" t="s">
        <v>418</v>
      </c>
      <c r="G82" s="12">
        <v>21191609</v>
      </c>
      <c r="H82" s="12" t="s">
        <v>38</v>
      </c>
      <c r="I82" s="12" t="s">
        <v>39</v>
      </c>
      <c r="J82" s="12">
        <v>81810</v>
      </c>
      <c r="K82" s="12" t="s">
        <v>358</v>
      </c>
      <c r="L82" s="12" t="s">
        <v>359</v>
      </c>
      <c r="M82" s="12" t="s">
        <v>360</v>
      </c>
      <c r="N82" s="12" t="s">
        <v>43</v>
      </c>
      <c r="O82" s="12">
        <v>1957</v>
      </c>
      <c r="P82" s="12">
        <v>289</v>
      </c>
      <c r="Q82" s="12">
        <v>289</v>
      </c>
      <c r="R82" s="12">
        <v>289</v>
      </c>
      <c r="S82" s="12">
        <v>410</v>
      </c>
      <c r="T82" s="12">
        <v>41</v>
      </c>
      <c r="U82" s="12">
        <v>0</v>
      </c>
      <c r="V82" s="12" t="s">
        <v>361</v>
      </c>
      <c r="W82" s="12">
        <v>3.3</v>
      </c>
      <c r="X82" s="12" t="s">
        <v>385</v>
      </c>
      <c r="Y82" s="12" t="s">
        <v>412</v>
      </c>
      <c r="Z82" s="12" t="s">
        <v>362</v>
      </c>
      <c r="AA82" s="12" t="b">
        <v>0</v>
      </c>
      <c r="AB82" s="12">
        <v>0</v>
      </c>
      <c r="AC82" s="47">
        <f t="shared" si="2"/>
        <v>45221</v>
      </c>
      <c r="AD82" s="12" t="s">
        <v>362</v>
      </c>
      <c r="AE82" s="12" t="str">
        <f t="shared" si="3"/>
        <v>Tharavadu family restaurant</v>
      </c>
    </row>
    <row r="83" spans="1:31" customFormat="1" ht="15">
      <c r="A83" s="14">
        <v>156864275866899</v>
      </c>
      <c r="B83" s="15" t="b">
        <v>0</v>
      </c>
      <c r="C83" s="15" t="s">
        <v>46</v>
      </c>
      <c r="D83" s="15" t="s">
        <v>46</v>
      </c>
      <c r="E83" s="16" t="s">
        <v>419</v>
      </c>
      <c r="F83" s="15" t="s">
        <v>420</v>
      </c>
      <c r="G83" s="15">
        <v>21191609</v>
      </c>
      <c r="H83" s="15" t="s">
        <v>38</v>
      </c>
      <c r="I83" s="15" t="s">
        <v>39</v>
      </c>
      <c r="J83" s="15">
        <v>55737</v>
      </c>
      <c r="K83" s="15" t="s">
        <v>421</v>
      </c>
      <c r="L83" s="15" t="s">
        <v>422</v>
      </c>
      <c r="M83" s="15" t="s">
        <v>423</v>
      </c>
      <c r="N83" s="15" t="s">
        <v>43</v>
      </c>
      <c r="O83" s="15">
        <v>2025</v>
      </c>
      <c r="P83" s="15">
        <v>265</v>
      </c>
      <c r="Q83" s="15">
        <v>265</v>
      </c>
      <c r="R83" s="15">
        <v>265</v>
      </c>
      <c r="S83" s="15">
        <v>239</v>
      </c>
      <c r="T83" s="15">
        <v>49</v>
      </c>
      <c r="U83" s="15">
        <v>0</v>
      </c>
      <c r="V83" s="15" t="s">
        <v>424</v>
      </c>
      <c r="W83" s="15">
        <v>4.2</v>
      </c>
      <c r="X83" s="15" t="s">
        <v>46</v>
      </c>
      <c r="Y83" s="15" t="s">
        <v>412</v>
      </c>
      <c r="Z83" s="15" t="s">
        <v>173</v>
      </c>
      <c r="AA83" s="15" t="b">
        <v>0</v>
      </c>
      <c r="AB83" s="15">
        <v>0</v>
      </c>
      <c r="AC83" s="47">
        <f t="shared" si="2"/>
        <v>45220</v>
      </c>
      <c r="AD83" s="12" t="s">
        <v>173</v>
      </c>
      <c r="AE83" s="12" t="str">
        <f t="shared" si="3"/>
        <v>Kairali Restaurant</v>
      </c>
    </row>
    <row r="84" spans="1:31" customFormat="1" ht="15">
      <c r="A84" s="11">
        <v>156652104418064</v>
      </c>
      <c r="B84" s="12" t="b">
        <v>1</v>
      </c>
      <c r="C84" s="12" t="s">
        <v>425</v>
      </c>
      <c r="D84" s="12" t="s">
        <v>426</v>
      </c>
      <c r="E84" s="13" t="s">
        <v>427</v>
      </c>
      <c r="F84" s="12" t="s">
        <v>428</v>
      </c>
      <c r="G84" s="12">
        <v>21191609</v>
      </c>
      <c r="H84" s="12" t="s">
        <v>38</v>
      </c>
      <c r="I84" s="12" t="s">
        <v>39</v>
      </c>
      <c r="J84" s="12">
        <v>201224</v>
      </c>
      <c r="K84" s="12" t="s">
        <v>429</v>
      </c>
      <c r="L84" s="12" t="s">
        <v>430</v>
      </c>
      <c r="M84" s="12" t="s">
        <v>101</v>
      </c>
      <c r="N84" s="12" t="s">
        <v>43</v>
      </c>
      <c r="O84" s="12">
        <v>753</v>
      </c>
      <c r="P84" s="12">
        <v>189</v>
      </c>
      <c r="Q84" s="12">
        <v>189</v>
      </c>
      <c r="R84" s="12">
        <v>189</v>
      </c>
      <c r="S84" s="12">
        <v>207</v>
      </c>
      <c r="T84" s="12">
        <v>30</v>
      </c>
      <c r="U84" s="12">
        <v>0</v>
      </c>
      <c r="V84" s="12" t="s">
        <v>431</v>
      </c>
      <c r="W84" s="12">
        <v>2.4</v>
      </c>
      <c r="X84" s="12" t="s">
        <v>425</v>
      </c>
      <c r="Y84" s="12" t="s">
        <v>45</v>
      </c>
      <c r="Z84" s="12" t="s">
        <v>214</v>
      </c>
      <c r="AA84" s="12" t="b">
        <v>1</v>
      </c>
      <c r="AB84" s="12">
        <v>0</v>
      </c>
      <c r="AC84" s="47">
        <f t="shared" si="2"/>
        <v>45218</v>
      </c>
      <c r="AD84" s="12" t="s">
        <v>370</v>
      </c>
      <c r="AE84" s="12" t="str">
        <f t="shared" si="3"/>
        <v>Asha tiffins</v>
      </c>
    </row>
    <row r="85" spans="1:31" customFormat="1" ht="15">
      <c r="A85" s="14">
        <v>155826395288522</v>
      </c>
      <c r="B85" s="15" t="b">
        <v>1</v>
      </c>
      <c r="C85" s="15" t="s">
        <v>34</v>
      </c>
      <c r="D85" s="15" t="s">
        <v>432</v>
      </c>
      <c r="E85" s="16" t="s">
        <v>433</v>
      </c>
      <c r="F85" s="15" t="s">
        <v>434</v>
      </c>
      <c r="G85" s="15">
        <v>21191609</v>
      </c>
      <c r="H85" s="15" t="s">
        <v>38</v>
      </c>
      <c r="I85" s="15" t="s">
        <v>39</v>
      </c>
      <c r="J85" s="15">
        <v>709170</v>
      </c>
      <c r="K85" s="15" t="s">
        <v>435</v>
      </c>
      <c r="L85" s="15" t="s">
        <v>436</v>
      </c>
      <c r="M85" s="15" t="s">
        <v>437</v>
      </c>
      <c r="N85" s="15" t="s">
        <v>43</v>
      </c>
      <c r="O85" s="15">
        <v>1001</v>
      </c>
      <c r="P85" s="15">
        <v>229</v>
      </c>
      <c r="Q85" s="15">
        <v>229</v>
      </c>
      <c r="R85" s="15">
        <v>229</v>
      </c>
      <c r="S85" s="15">
        <v>258</v>
      </c>
      <c r="T85" s="15">
        <v>48</v>
      </c>
      <c r="U85" s="15">
        <v>0</v>
      </c>
      <c r="V85" s="15" t="s">
        <v>438</v>
      </c>
      <c r="W85" s="15">
        <v>0.7</v>
      </c>
      <c r="X85" s="15" t="s">
        <v>34</v>
      </c>
      <c r="Y85" s="15" t="s">
        <v>412</v>
      </c>
      <c r="Z85" s="15" t="s">
        <v>370</v>
      </c>
      <c r="AA85" s="15" t="b">
        <v>1</v>
      </c>
      <c r="AB85" s="15">
        <v>2</v>
      </c>
      <c r="AC85" s="47">
        <f t="shared" si="2"/>
        <v>45208</v>
      </c>
      <c r="AD85" s="12" t="s">
        <v>370</v>
      </c>
      <c r="AE85" s="12" t="str">
        <f t="shared" si="3"/>
        <v>Imperio Restaurant</v>
      </c>
    </row>
    <row r="86" spans="1:31" customFormat="1" ht="15">
      <c r="A86" s="11">
        <v>154933952448406</v>
      </c>
      <c r="B86" s="12" t="b">
        <v>0</v>
      </c>
      <c r="C86" s="12" t="s">
        <v>46</v>
      </c>
      <c r="D86" s="12" t="s">
        <v>46</v>
      </c>
      <c r="E86" s="13" t="s">
        <v>439</v>
      </c>
      <c r="F86" s="12" t="s">
        <v>440</v>
      </c>
      <c r="G86" s="12">
        <v>21191609</v>
      </c>
      <c r="H86" s="12" t="s">
        <v>38</v>
      </c>
      <c r="I86" s="12" t="s">
        <v>39</v>
      </c>
      <c r="J86" s="12">
        <v>348329</v>
      </c>
      <c r="K86" s="12" t="s">
        <v>323</v>
      </c>
      <c r="L86" s="12" t="s">
        <v>410</v>
      </c>
      <c r="M86" s="12" t="s">
        <v>284</v>
      </c>
      <c r="N86" s="12" t="s">
        <v>43</v>
      </c>
      <c r="O86" s="12">
        <v>2566</v>
      </c>
      <c r="P86" s="12">
        <v>553</v>
      </c>
      <c r="Q86" s="12">
        <v>553</v>
      </c>
      <c r="R86" s="12">
        <v>553</v>
      </c>
      <c r="S86" s="12">
        <v>535</v>
      </c>
      <c r="T86" s="12">
        <v>44</v>
      </c>
      <c r="U86" s="12">
        <v>0</v>
      </c>
      <c r="V86" s="12" t="s">
        <v>411</v>
      </c>
      <c r="W86" s="12">
        <v>5</v>
      </c>
      <c r="X86" s="12" t="s">
        <v>46</v>
      </c>
      <c r="Y86" s="12" t="s">
        <v>45</v>
      </c>
      <c r="Z86" s="12" t="s">
        <v>178</v>
      </c>
      <c r="AA86" s="12" t="b">
        <v>1</v>
      </c>
      <c r="AB86" s="12">
        <v>0</v>
      </c>
      <c r="AC86" s="47">
        <f t="shared" si="2"/>
        <v>45198</v>
      </c>
      <c r="AD86" s="12" t="s">
        <v>173</v>
      </c>
      <c r="AE86" s="12" t="str">
        <f t="shared" si="3"/>
        <v>Paratha Envy</v>
      </c>
    </row>
    <row r="87" spans="1:31" customFormat="1" ht="15">
      <c r="A87" s="14">
        <v>178713153585</v>
      </c>
      <c r="B87" s="15" t="b">
        <v>1</v>
      </c>
      <c r="C87" s="15" t="s">
        <v>112</v>
      </c>
      <c r="D87" s="15" t="s">
        <v>441</v>
      </c>
      <c r="E87" s="16" t="s">
        <v>442</v>
      </c>
      <c r="F87" s="15" t="s">
        <v>443</v>
      </c>
      <c r="G87" s="15">
        <v>21191609</v>
      </c>
      <c r="H87" s="15" t="s">
        <v>38</v>
      </c>
      <c r="I87" s="15" t="s">
        <v>39</v>
      </c>
      <c r="J87" s="15">
        <v>81810</v>
      </c>
      <c r="K87" s="15" t="s">
        <v>358</v>
      </c>
      <c r="L87" s="15" t="s">
        <v>359</v>
      </c>
      <c r="M87" s="15" t="s">
        <v>360</v>
      </c>
      <c r="N87" s="15" t="s">
        <v>43</v>
      </c>
      <c r="O87" s="15">
        <v>1467</v>
      </c>
      <c r="P87" s="15">
        <v>362</v>
      </c>
      <c r="Q87" s="15">
        <v>362</v>
      </c>
      <c r="R87" s="15">
        <v>362</v>
      </c>
      <c r="S87" s="15">
        <v>441</v>
      </c>
      <c r="T87" s="15">
        <v>34</v>
      </c>
      <c r="U87" s="15">
        <v>0</v>
      </c>
      <c r="V87" s="15" t="s">
        <v>361</v>
      </c>
      <c r="W87" s="15">
        <v>3.3</v>
      </c>
      <c r="X87" s="15" t="s">
        <v>112</v>
      </c>
      <c r="Y87" s="15" t="s">
        <v>45</v>
      </c>
      <c r="Z87" s="15" t="s">
        <v>362</v>
      </c>
      <c r="AA87" s="15" t="b">
        <v>1</v>
      </c>
      <c r="AB87" s="15">
        <v>0</v>
      </c>
      <c r="AC87" s="47">
        <f t="shared" si="2"/>
        <v>45194</v>
      </c>
      <c r="AD87" s="12" t="s">
        <v>362</v>
      </c>
      <c r="AE87" s="12" t="str">
        <f t="shared" si="3"/>
        <v>Tharavadu family restaurant</v>
      </c>
    </row>
    <row r="88" spans="1:31" customFormat="1" ht="15">
      <c r="A88" s="11">
        <v>178539970232</v>
      </c>
      <c r="B88" s="12" t="b">
        <v>0</v>
      </c>
      <c r="C88" s="12" t="s">
        <v>46</v>
      </c>
      <c r="D88" s="12" t="s">
        <v>46</v>
      </c>
      <c r="E88" s="13" t="s">
        <v>444</v>
      </c>
      <c r="F88" s="12" t="s">
        <v>445</v>
      </c>
      <c r="G88" s="12">
        <v>21191609</v>
      </c>
      <c r="H88" s="12" t="s">
        <v>38</v>
      </c>
      <c r="I88" s="12" t="s">
        <v>39</v>
      </c>
      <c r="J88" s="12">
        <v>567783</v>
      </c>
      <c r="K88" s="12" t="s">
        <v>446</v>
      </c>
      <c r="L88" s="12" t="s">
        <v>447</v>
      </c>
      <c r="M88" s="12" t="s">
        <v>302</v>
      </c>
      <c r="N88" s="12" t="s">
        <v>43</v>
      </c>
      <c r="O88" s="12">
        <v>1835</v>
      </c>
      <c r="P88" s="12">
        <v>281</v>
      </c>
      <c r="Q88" s="12">
        <v>281</v>
      </c>
      <c r="R88" s="12">
        <v>281</v>
      </c>
      <c r="S88" s="12">
        <v>256</v>
      </c>
      <c r="T88" s="12">
        <v>31</v>
      </c>
      <c r="U88" s="12">
        <v>0</v>
      </c>
      <c r="V88" s="12" t="s">
        <v>448</v>
      </c>
      <c r="W88" s="12">
        <v>0.5</v>
      </c>
      <c r="X88" s="12" t="s">
        <v>46</v>
      </c>
      <c r="Y88" s="12" t="s">
        <v>45</v>
      </c>
      <c r="Z88" s="12" t="s">
        <v>214</v>
      </c>
      <c r="AA88" s="12" t="b">
        <v>0</v>
      </c>
      <c r="AB88" s="12">
        <v>0</v>
      </c>
      <c r="AC88" s="47">
        <f t="shared" si="2"/>
        <v>45192</v>
      </c>
      <c r="AD88" s="12" t="s">
        <v>370</v>
      </c>
      <c r="AE88" s="12" t="str">
        <f t="shared" si="3"/>
        <v>HSR Freshcane Juice</v>
      </c>
    </row>
    <row r="89" spans="1:31" customFormat="1" ht="15">
      <c r="A89" s="14">
        <v>178180906036</v>
      </c>
      <c r="B89" s="15" t="b">
        <v>1</v>
      </c>
      <c r="C89" s="15" t="s">
        <v>112</v>
      </c>
      <c r="D89" s="15" t="s">
        <v>449</v>
      </c>
      <c r="E89" s="16" t="s">
        <v>450</v>
      </c>
      <c r="F89" s="15" t="s">
        <v>451</v>
      </c>
      <c r="G89" s="15">
        <v>21191609</v>
      </c>
      <c r="H89" s="15" t="s">
        <v>38</v>
      </c>
      <c r="I89" s="15" t="s">
        <v>39</v>
      </c>
      <c r="J89" s="15">
        <v>709170</v>
      </c>
      <c r="K89" s="15" t="s">
        <v>435</v>
      </c>
      <c r="L89" s="15" t="s">
        <v>436</v>
      </c>
      <c r="M89" s="15" t="s">
        <v>437</v>
      </c>
      <c r="N89" s="15" t="s">
        <v>43</v>
      </c>
      <c r="O89" s="15">
        <v>971</v>
      </c>
      <c r="P89" s="15">
        <v>301</v>
      </c>
      <c r="Q89" s="15">
        <v>301</v>
      </c>
      <c r="R89" s="15">
        <v>301</v>
      </c>
      <c r="S89" s="15">
        <v>318</v>
      </c>
      <c r="T89" s="15">
        <v>28</v>
      </c>
      <c r="U89" s="15">
        <v>0</v>
      </c>
      <c r="V89" s="15" t="s">
        <v>438</v>
      </c>
      <c r="W89" s="15">
        <v>0.7</v>
      </c>
      <c r="X89" s="15" t="s">
        <v>112</v>
      </c>
      <c r="Y89" s="15" t="s">
        <v>45</v>
      </c>
      <c r="Z89" s="15" t="s">
        <v>370</v>
      </c>
      <c r="AA89" s="15" t="b">
        <v>1</v>
      </c>
      <c r="AB89" s="15">
        <v>0</v>
      </c>
      <c r="AC89" s="47">
        <f t="shared" si="2"/>
        <v>45188</v>
      </c>
      <c r="AD89" s="12" t="s">
        <v>370</v>
      </c>
      <c r="AE89" s="12" t="str">
        <f t="shared" si="3"/>
        <v>Imperio Restaurant</v>
      </c>
    </row>
    <row r="90" spans="1:31" customFormat="1" ht="15">
      <c r="A90" s="11">
        <v>178090781440</v>
      </c>
      <c r="B90" s="12" t="b">
        <v>0</v>
      </c>
      <c r="C90" s="12" t="s">
        <v>46</v>
      </c>
      <c r="D90" s="12" t="s">
        <v>46</v>
      </c>
      <c r="E90" s="13" t="s">
        <v>452</v>
      </c>
      <c r="F90" s="12" t="s">
        <v>453</v>
      </c>
      <c r="G90" s="12">
        <v>21191609</v>
      </c>
      <c r="H90" s="12" t="s">
        <v>38</v>
      </c>
      <c r="I90" s="12" t="s">
        <v>39</v>
      </c>
      <c r="J90" s="12">
        <v>62430</v>
      </c>
      <c r="K90" s="12" t="s">
        <v>395</v>
      </c>
      <c r="L90" s="12" t="s">
        <v>396</v>
      </c>
      <c r="M90" s="12" t="s">
        <v>101</v>
      </c>
      <c r="N90" s="12" t="s">
        <v>43</v>
      </c>
      <c r="O90" s="12">
        <v>2783</v>
      </c>
      <c r="P90" s="12">
        <v>190</v>
      </c>
      <c r="Q90" s="12">
        <v>190</v>
      </c>
      <c r="R90" s="12">
        <v>190</v>
      </c>
      <c r="S90" s="12">
        <v>169</v>
      </c>
      <c r="T90" s="12">
        <v>28</v>
      </c>
      <c r="U90" s="12">
        <v>0</v>
      </c>
      <c r="V90" s="12" t="s">
        <v>397</v>
      </c>
      <c r="W90" s="12">
        <v>2</v>
      </c>
      <c r="X90" s="12" t="s">
        <v>46</v>
      </c>
      <c r="Y90" s="12" t="s">
        <v>45</v>
      </c>
      <c r="Z90" s="12" t="s">
        <v>103</v>
      </c>
      <c r="AA90" s="12" t="b">
        <v>1</v>
      </c>
      <c r="AB90" s="12">
        <v>0</v>
      </c>
      <c r="AC90" s="47">
        <f t="shared" si="2"/>
        <v>45187</v>
      </c>
      <c r="AD90" s="12" t="s">
        <v>370</v>
      </c>
      <c r="AE90" s="12" t="str">
        <f t="shared" si="3"/>
        <v>Dosa Chicken &amp; Tiffins</v>
      </c>
    </row>
    <row r="91" spans="1:31" customFormat="1" ht="15">
      <c r="A91" s="14">
        <v>177591184372</v>
      </c>
      <c r="B91" s="15" t="b">
        <v>1</v>
      </c>
      <c r="C91" s="15" t="s">
        <v>454</v>
      </c>
      <c r="D91" s="15" t="s">
        <v>455</v>
      </c>
      <c r="E91" s="16" t="s">
        <v>456</v>
      </c>
      <c r="F91" s="15" t="s">
        <v>457</v>
      </c>
      <c r="G91" s="15">
        <v>21191609</v>
      </c>
      <c r="H91" s="15" t="s">
        <v>38</v>
      </c>
      <c r="I91" s="15" t="s">
        <v>39</v>
      </c>
      <c r="J91" s="15">
        <v>2675</v>
      </c>
      <c r="K91" s="15" t="s">
        <v>211</v>
      </c>
      <c r="L91" s="15" t="s">
        <v>212</v>
      </c>
      <c r="M91" s="15" t="s">
        <v>101</v>
      </c>
      <c r="N91" s="15" t="s">
        <v>43</v>
      </c>
      <c r="O91" s="15">
        <v>1091</v>
      </c>
      <c r="P91" s="15">
        <v>244</v>
      </c>
      <c r="Q91" s="15">
        <v>244</v>
      </c>
      <c r="R91" s="15">
        <v>244</v>
      </c>
      <c r="S91" s="15">
        <v>299</v>
      </c>
      <c r="T91" s="15">
        <v>28</v>
      </c>
      <c r="U91" s="15">
        <v>0</v>
      </c>
      <c r="V91" s="15" t="s">
        <v>213</v>
      </c>
      <c r="W91" s="15">
        <v>1.7</v>
      </c>
      <c r="X91" s="15" t="s">
        <v>454</v>
      </c>
      <c r="Y91" s="15" t="s">
        <v>45</v>
      </c>
      <c r="Z91" s="15" t="s">
        <v>214</v>
      </c>
      <c r="AA91" s="15" t="b">
        <v>1</v>
      </c>
      <c r="AB91" s="15">
        <v>0</v>
      </c>
      <c r="AC91" s="47">
        <f t="shared" si="2"/>
        <v>45181</v>
      </c>
      <c r="AD91" s="12" t="s">
        <v>370</v>
      </c>
      <c r="AE91" s="12" t="str">
        <f t="shared" si="3"/>
        <v>Subway</v>
      </c>
    </row>
    <row r="92" spans="1:31" customFormat="1" ht="15">
      <c r="A92" s="11">
        <v>177445532607</v>
      </c>
      <c r="B92" s="12" t="b">
        <v>1</v>
      </c>
      <c r="C92" s="12" t="s">
        <v>458</v>
      </c>
      <c r="D92" s="12" t="s">
        <v>459</v>
      </c>
      <c r="E92" s="13" t="s">
        <v>460</v>
      </c>
      <c r="F92" s="12" t="s">
        <v>461</v>
      </c>
      <c r="G92" s="12">
        <v>21191609</v>
      </c>
      <c r="H92" s="12" t="s">
        <v>38</v>
      </c>
      <c r="I92" s="12" t="s">
        <v>39</v>
      </c>
      <c r="J92" s="12">
        <v>395574</v>
      </c>
      <c r="K92" s="12" t="s">
        <v>462</v>
      </c>
      <c r="L92" s="12" t="s">
        <v>463</v>
      </c>
      <c r="M92" s="12" t="s">
        <v>302</v>
      </c>
      <c r="N92" s="12" t="s">
        <v>43</v>
      </c>
      <c r="O92" s="12">
        <v>2259</v>
      </c>
      <c r="P92" s="12">
        <v>1369</v>
      </c>
      <c r="Q92" s="12">
        <v>1369</v>
      </c>
      <c r="R92" s="12">
        <v>1369</v>
      </c>
      <c r="S92" s="12">
        <v>1380</v>
      </c>
      <c r="T92" s="12">
        <v>41</v>
      </c>
      <c r="U92" s="12">
        <v>0</v>
      </c>
      <c r="V92" s="12" t="s">
        <v>464</v>
      </c>
      <c r="W92" s="12">
        <v>0.8</v>
      </c>
      <c r="X92" s="12" t="s">
        <v>458</v>
      </c>
      <c r="Y92" s="12" t="s">
        <v>45</v>
      </c>
      <c r="Z92" s="12" t="s">
        <v>103</v>
      </c>
      <c r="AA92" s="12" t="b">
        <v>1</v>
      </c>
      <c r="AB92" s="12">
        <v>0</v>
      </c>
      <c r="AC92" s="47">
        <f t="shared" si="2"/>
        <v>45179</v>
      </c>
      <c r="AD92" s="12" t="s">
        <v>370</v>
      </c>
      <c r="AE92" s="12" t="str">
        <f t="shared" si="3"/>
        <v>Plan B</v>
      </c>
    </row>
    <row r="93" spans="1:31" customFormat="1" ht="15">
      <c r="A93" s="14">
        <v>177265186487</v>
      </c>
      <c r="B93" s="15" t="b">
        <v>1</v>
      </c>
      <c r="C93" s="15" t="s">
        <v>458</v>
      </c>
      <c r="D93" s="15" t="s">
        <v>465</v>
      </c>
      <c r="E93" s="16" t="s">
        <v>466</v>
      </c>
      <c r="F93" s="15" t="s">
        <v>467</v>
      </c>
      <c r="G93" s="15">
        <v>21191609</v>
      </c>
      <c r="H93" s="15" t="s">
        <v>38</v>
      </c>
      <c r="I93" s="15" t="s">
        <v>39</v>
      </c>
      <c r="J93" s="15">
        <v>395574</v>
      </c>
      <c r="K93" s="15" t="s">
        <v>462</v>
      </c>
      <c r="L93" s="15" t="s">
        <v>463</v>
      </c>
      <c r="M93" s="15" t="s">
        <v>302</v>
      </c>
      <c r="N93" s="15" t="s">
        <v>43</v>
      </c>
      <c r="O93" s="15">
        <v>2907</v>
      </c>
      <c r="P93" s="15">
        <v>1905</v>
      </c>
      <c r="Q93" s="15">
        <v>1905</v>
      </c>
      <c r="R93" s="15">
        <v>1905</v>
      </c>
      <c r="S93" s="15">
        <v>1970</v>
      </c>
      <c r="T93" s="15">
        <v>37</v>
      </c>
      <c r="U93" s="15">
        <v>0</v>
      </c>
      <c r="V93" s="15" t="s">
        <v>464</v>
      </c>
      <c r="W93" s="15">
        <v>0.7</v>
      </c>
      <c r="X93" s="15" t="s">
        <v>458</v>
      </c>
      <c r="Y93" s="15" t="s">
        <v>45</v>
      </c>
      <c r="Z93" s="15" t="s">
        <v>103</v>
      </c>
      <c r="AA93" s="15" t="b">
        <v>1</v>
      </c>
      <c r="AB93" s="15">
        <v>0</v>
      </c>
      <c r="AC93" s="47">
        <f t="shared" si="2"/>
        <v>45177</v>
      </c>
      <c r="AD93" s="12" t="s">
        <v>370</v>
      </c>
      <c r="AE93" s="12" t="str">
        <f t="shared" si="3"/>
        <v>Plan B</v>
      </c>
    </row>
    <row r="94" spans="1:31" customFormat="1" ht="15">
      <c r="A94" s="11">
        <v>176793394432</v>
      </c>
      <c r="B94" s="12" t="b">
        <v>1</v>
      </c>
      <c r="C94" s="12" t="s">
        <v>112</v>
      </c>
      <c r="D94" s="12" t="s">
        <v>468</v>
      </c>
      <c r="E94" s="13" t="s">
        <v>469</v>
      </c>
      <c r="F94" s="12"/>
      <c r="G94" s="12">
        <v>21191609</v>
      </c>
      <c r="H94" s="12" t="s">
        <v>38</v>
      </c>
      <c r="I94" s="12" t="s">
        <v>39</v>
      </c>
      <c r="J94" s="12">
        <v>298606</v>
      </c>
      <c r="K94" s="12" t="s">
        <v>470</v>
      </c>
      <c r="L94" s="12" t="s">
        <v>471</v>
      </c>
      <c r="M94" s="12" t="s">
        <v>472</v>
      </c>
      <c r="N94" s="12" t="s">
        <v>43</v>
      </c>
      <c r="O94" s="12">
        <v>1712</v>
      </c>
      <c r="P94" s="12">
        <v>399</v>
      </c>
      <c r="Q94" s="12">
        <v>399</v>
      </c>
      <c r="R94" s="12">
        <v>399</v>
      </c>
      <c r="S94" s="12">
        <v>398</v>
      </c>
      <c r="T94" s="12">
        <v>44</v>
      </c>
      <c r="U94" s="12">
        <v>0</v>
      </c>
      <c r="V94" s="12" t="s">
        <v>473</v>
      </c>
      <c r="W94" s="12">
        <v>4.4000000000000004</v>
      </c>
      <c r="X94" s="12" t="s">
        <v>112</v>
      </c>
      <c r="Y94" s="12" t="s">
        <v>412</v>
      </c>
      <c r="Z94" s="12" t="s">
        <v>236</v>
      </c>
      <c r="AA94" s="12" t="b">
        <v>0</v>
      </c>
      <c r="AB94" s="12">
        <v>0</v>
      </c>
      <c r="AC94" s="47">
        <f t="shared" si="2"/>
        <v>45172</v>
      </c>
      <c r="AD94" s="12" t="s">
        <v>236</v>
      </c>
      <c r="AE94" s="12" t="str">
        <f t="shared" si="3"/>
        <v>Drunken Monkey</v>
      </c>
    </row>
    <row r="95" spans="1:31" customFormat="1" ht="15">
      <c r="A95" s="14">
        <v>176745115332</v>
      </c>
      <c r="B95" s="15" t="b">
        <v>1</v>
      </c>
      <c r="C95" s="15" t="s">
        <v>112</v>
      </c>
      <c r="D95" s="15" t="s">
        <v>474</v>
      </c>
      <c r="E95" s="16" t="s">
        <v>475</v>
      </c>
      <c r="F95" s="15"/>
      <c r="G95" s="15">
        <v>21191609</v>
      </c>
      <c r="H95" s="15" t="s">
        <v>38</v>
      </c>
      <c r="I95" s="15" t="s">
        <v>39</v>
      </c>
      <c r="J95" s="15">
        <v>254655</v>
      </c>
      <c r="K95" s="15" t="s">
        <v>82</v>
      </c>
      <c r="L95" s="15" t="s">
        <v>240</v>
      </c>
      <c r="M95" s="15" t="s">
        <v>228</v>
      </c>
      <c r="N95" s="15" t="s">
        <v>43</v>
      </c>
      <c r="O95" s="15">
        <v>2738</v>
      </c>
      <c r="P95" s="15">
        <v>359</v>
      </c>
      <c r="Q95" s="15">
        <v>359</v>
      </c>
      <c r="R95" s="15">
        <v>359</v>
      </c>
      <c r="S95" s="15">
        <v>400</v>
      </c>
      <c r="T95" s="15">
        <v>36</v>
      </c>
      <c r="U95" s="15">
        <v>0</v>
      </c>
      <c r="V95" s="15" t="s">
        <v>336</v>
      </c>
      <c r="W95" s="15">
        <v>2.1</v>
      </c>
      <c r="X95" s="15" t="s">
        <v>112</v>
      </c>
      <c r="Y95" s="15" t="s">
        <v>412</v>
      </c>
      <c r="Z95" s="15" t="s">
        <v>103</v>
      </c>
      <c r="AA95" s="15" t="b">
        <v>0</v>
      </c>
      <c r="AB95" s="15">
        <v>0</v>
      </c>
      <c r="AC95" s="47">
        <f t="shared" si="2"/>
        <v>45171</v>
      </c>
      <c r="AD95" s="12" t="s">
        <v>370</v>
      </c>
      <c r="AE95" s="12" t="str">
        <f t="shared" si="3"/>
        <v>Daily Sushi</v>
      </c>
    </row>
    <row r="96" spans="1:31" customFormat="1" ht="15">
      <c r="A96" s="11">
        <v>176716772573</v>
      </c>
      <c r="B96" s="12" t="b">
        <v>1</v>
      </c>
      <c r="C96" s="12" t="s">
        <v>476</v>
      </c>
      <c r="D96" s="12" t="s">
        <v>477</v>
      </c>
      <c r="E96" s="13" t="s">
        <v>478</v>
      </c>
      <c r="F96" s="12"/>
      <c r="G96" s="12">
        <v>21191609</v>
      </c>
      <c r="H96" s="12" t="s">
        <v>38</v>
      </c>
      <c r="I96" s="12" t="s">
        <v>39</v>
      </c>
      <c r="J96" s="12">
        <v>341895</v>
      </c>
      <c r="K96" s="12" t="s">
        <v>341</v>
      </c>
      <c r="L96" s="12" t="s">
        <v>479</v>
      </c>
      <c r="M96" s="12" t="s">
        <v>480</v>
      </c>
      <c r="N96" s="12" t="s">
        <v>43</v>
      </c>
      <c r="O96" s="12">
        <v>2483</v>
      </c>
      <c r="P96" s="12">
        <v>356</v>
      </c>
      <c r="Q96" s="12">
        <v>356</v>
      </c>
      <c r="R96" s="12">
        <v>356</v>
      </c>
      <c r="S96" s="12">
        <v>460</v>
      </c>
      <c r="T96" s="12">
        <v>34</v>
      </c>
      <c r="U96" s="12">
        <v>0</v>
      </c>
      <c r="V96" s="12" t="s">
        <v>481</v>
      </c>
      <c r="W96" s="12">
        <v>1.5</v>
      </c>
      <c r="X96" s="12" t="s">
        <v>476</v>
      </c>
      <c r="Y96" s="12" t="s">
        <v>412</v>
      </c>
      <c r="Z96" s="12" t="s">
        <v>480</v>
      </c>
      <c r="AA96" s="12" t="b">
        <v>1</v>
      </c>
      <c r="AB96" s="12">
        <v>0</v>
      </c>
      <c r="AC96" s="47">
        <f t="shared" si="2"/>
        <v>45171</v>
      </c>
      <c r="AD96" s="12" t="s">
        <v>480</v>
      </c>
      <c r="AE96" s="12" t="str">
        <f t="shared" si="3"/>
        <v>Burger Seigneur</v>
      </c>
    </row>
    <row r="97" spans="1:31" customFormat="1" ht="15">
      <c r="A97" s="14">
        <v>176451044220</v>
      </c>
      <c r="B97" s="15" t="b">
        <v>0</v>
      </c>
      <c r="C97" s="15" t="s">
        <v>46</v>
      </c>
      <c r="D97" s="15" t="s">
        <v>46</v>
      </c>
      <c r="E97" s="16" t="s">
        <v>482</v>
      </c>
      <c r="F97" s="15"/>
      <c r="G97" s="15">
        <v>21191609</v>
      </c>
      <c r="H97" s="15" t="s">
        <v>38</v>
      </c>
      <c r="I97" s="15" t="s">
        <v>39</v>
      </c>
      <c r="J97" s="15">
        <v>47603</v>
      </c>
      <c r="K97" s="15" t="s">
        <v>483</v>
      </c>
      <c r="L97" s="15" t="s">
        <v>484</v>
      </c>
      <c r="M97" s="15" t="s">
        <v>485</v>
      </c>
      <c r="N97" s="15" t="s">
        <v>43</v>
      </c>
      <c r="O97" s="15">
        <v>1839</v>
      </c>
      <c r="P97" s="15">
        <v>301</v>
      </c>
      <c r="Q97" s="15">
        <v>301</v>
      </c>
      <c r="R97" s="15">
        <v>301</v>
      </c>
      <c r="S97" s="15">
        <v>261.90996999999999</v>
      </c>
      <c r="T97" s="15">
        <v>39</v>
      </c>
      <c r="U97" s="15">
        <v>0</v>
      </c>
      <c r="V97" s="15" t="s">
        <v>486</v>
      </c>
      <c r="W97" s="15">
        <v>4.9000000000000004</v>
      </c>
      <c r="X97" s="15" t="s">
        <v>46</v>
      </c>
      <c r="Y97" s="15" t="s">
        <v>412</v>
      </c>
      <c r="Z97" s="15" t="s">
        <v>173</v>
      </c>
      <c r="AA97" s="15" t="b">
        <v>0</v>
      </c>
      <c r="AB97" s="15">
        <v>0</v>
      </c>
      <c r="AC97" s="47">
        <f t="shared" si="2"/>
        <v>45168</v>
      </c>
      <c r="AD97" s="12" t="s">
        <v>173</v>
      </c>
      <c r="AE97" s="12" t="str">
        <f t="shared" si="3"/>
        <v>Truffles</v>
      </c>
    </row>
    <row r="98" spans="1:31" customFormat="1" ht="15">
      <c r="A98" s="11">
        <v>176221057630</v>
      </c>
      <c r="B98" s="12" t="b">
        <v>0</v>
      </c>
      <c r="C98" s="12" t="s">
        <v>46</v>
      </c>
      <c r="D98" s="12" t="s">
        <v>46</v>
      </c>
      <c r="E98" s="13" t="s">
        <v>487</v>
      </c>
      <c r="F98" s="12"/>
      <c r="G98" s="12">
        <v>21191609</v>
      </c>
      <c r="H98" s="12" t="s">
        <v>38</v>
      </c>
      <c r="I98" s="12" t="s">
        <v>39</v>
      </c>
      <c r="J98" s="12">
        <v>498292</v>
      </c>
      <c r="K98" s="12" t="s">
        <v>488</v>
      </c>
      <c r="L98" s="12" t="s">
        <v>489</v>
      </c>
      <c r="M98" s="12" t="s">
        <v>259</v>
      </c>
      <c r="N98" s="12" t="s">
        <v>43</v>
      </c>
      <c r="O98" s="12">
        <v>2187</v>
      </c>
      <c r="P98" s="12">
        <v>164</v>
      </c>
      <c r="Q98" s="12">
        <v>164</v>
      </c>
      <c r="R98" s="12">
        <v>164</v>
      </c>
      <c r="S98" s="12">
        <v>199</v>
      </c>
      <c r="T98" s="12">
        <v>41</v>
      </c>
      <c r="U98" s="12">
        <v>0</v>
      </c>
      <c r="V98" s="12" t="s">
        <v>490</v>
      </c>
      <c r="W98" s="12">
        <v>3.1</v>
      </c>
      <c r="X98" s="12" t="s">
        <v>46</v>
      </c>
      <c r="Y98" s="12" t="s">
        <v>412</v>
      </c>
      <c r="Z98" s="12" t="s">
        <v>236</v>
      </c>
      <c r="AA98" s="12" t="b">
        <v>0</v>
      </c>
      <c r="AB98" s="12">
        <v>0</v>
      </c>
      <c r="AC98" s="47">
        <f t="shared" si="2"/>
        <v>45165</v>
      </c>
      <c r="AD98" s="12" t="s">
        <v>236</v>
      </c>
      <c r="AE98" s="12" t="str">
        <f t="shared" si="3"/>
        <v>Istah</v>
      </c>
    </row>
    <row r="99" spans="1:31" customFormat="1" ht="15">
      <c r="A99" s="14">
        <v>175968970700</v>
      </c>
      <c r="B99" s="15" t="b">
        <v>1</v>
      </c>
      <c r="C99" s="15" t="s">
        <v>140</v>
      </c>
      <c r="D99" s="15" t="s">
        <v>491</v>
      </c>
      <c r="E99" s="16" t="s">
        <v>492</v>
      </c>
      <c r="F99" s="15"/>
      <c r="G99" s="15">
        <v>21191609</v>
      </c>
      <c r="H99" s="15" t="s">
        <v>165</v>
      </c>
      <c r="I99" s="15" t="s">
        <v>39</v>
      </c>
      <c r="J99" s="15">
        <v>405903</v>
      </c>
      <c r="K99" s="15" t="s">
        <v>493</v>
      </c>
      <c r="L99" s="15" t="s">
        <v>494</v>
      </c>
      <c r="M99" s="15" t="s">
        <v>84</v>
      </c>
      <c r="N99" s="15" t="s">
        <v>43</v>
      </c>
      <c r="O99" s="15">
        <v>0</v>
      </c>
      <c r="P99" s="15">
        <v>369</v>
      </c>
      <c r="Q99" s="15">
        <v>369</v>
      </c>
      <c r="R99" s="15">
        <v>369</v>
      </c>
      <c r="S99" s="15">
        <v>438</v>
      </c>
      <c r="T99" s="15">
        <v>55</v>
      </c>
      <c r="U99" s="15">
        <v>0</v>
      </c>
      <c r="V99" s="15" t="s">
        <v>495</v>
      </c>
      <c r="W99" s="15">
        <v>5.4</v>
      </c>
      <c r="X99" s="15" t="s">
        <v>140</v>
      </c>
      <c r="Y99" s="15" t="s">
        <v>412</v>
      </c>
      <c r="Z99" s="15" t="s">
        <v>236</v>
      </c>
      <c r="AA99" s="15" t="b">
        <v>0</v>
      </c>
      <c r="AB99" s="15">
        <v>0</v>
      </c>
      <c r="AC99" s="47">
        <f t="shared" si="2"/>
        <v>45162</v>
      </c>
      <c r="AD99" s="12" t="s">
        <v>236</v>
      </c>
      <c r="AE99" s="12" t="str">
        <f t="shared" si="3"/>
        <v>The Thick Shake Factory</v>
      </c>
    </row>
    <row r="100" spans="1:31" customFormat="1" ht="15">
      <c r="A100" s="11">
        <v>175192473312</v>
      </c>
      <c r="B100" s="12" t="b">
        <v>0</v>
      </c>
      <c r="C100" s="12" t="s">
        <v>46</v>
      </c>
      <c r="D100" s="12" t="s">
        <v>46</v>
      </c>
      <c r="E100" s="13" t="s">
        <v>496</v>
      </c>
      <c r="F100" s="12"/>
      <c r="G100" s="12">
        <v>21191609</v>
      </c>
      <c r="H100" s="12" t="s">
        <v>38</v>
      </c>
      <c r="I100" s="12" t="s">
        <v>39</v>
      </c>
      <c r="J100" s="12">
        <v>64914</v>
      </c>
      <c r="K100" s="12" t="s">
        <v>497</v>
      </c>
      <c r="L100" s="12" t="s">
        <v>498</v>
      </c>
      <c r="M100" s="12" t="s">
        <v>499</v>
      </c>
      <c r="N100" s="12" t="s">
        <v>43</v>
      </c>
      <c r="O100" s="12">
        <v>1654</v>
      </c>
      <c r="P100" s="12">
        <v>504</v>
      </c>
      <c r="Q100" s="12">
        <v>504</v>
      </c>
      <c r="R100" s="12">
        <v>504</v>
      </c>
      <c r="S100" s="12">
        <v>465</v>
      </c>
      <c r="T100" s="12">
        <v>54</v>
      </c>
      <c r="U100" s="12">
        <v>0</v>
      </c>
      <c r="V100" s="12" t="s">
        <v>500</v>
      </c>
      <c r="W100" s="12">
        <v>5</v>
      </c>
      <c r="X100" s="12" t="s">
        <v>46</v>
      </c>
      <c r="Y100" s="12" t="s">
        <v>412</v>
      </c>
      <c r="Z100" s="12" t="s">
        <v>173</v>
      </c>
      <c r="AA100" s="12" t="b">
        <v>0</v>
      </c>
      <c r="AB100" s="12">
        <v>0</v>
      </c>
      <c r="AC100" s="47">
        <f t="shared" si="2"/>
        <v>45153</v>
      </c>
      <c r="AD100" s="12" t="s">
        <v>173</v>
      </c>
      <c r="AE100" s="12" t="str">
        <f t="shared" si="3"/>
        <v>Kerala Panoor Restaurant</v>
      </c>
    </row>
    <row r="101" spans="1:31" customFormat="1" ht="15">
      <c r="A101" s="14">
        <v>174983850554</v>
      </c>
      <c r="B101" s="15" t="b">
        <v>0</v>
      </c>
      <c r="C101" s="15" t="s">
        <v>46</v>
      </c>
      <c r="D101" s="15" t="s">
        <v>46</v>
      </c>
      <c r="E101" s="16" t="s">
        <v>501</v>
      </c>
      <c r="F101" s="15"/>
      <c r="G101" s="15">
        <v>21191609</v>
      </c>
      <c r="H101" s="15" t="s">
        <v>38</v>
      </c>
      <c r="I101" s="15" t="s">
        <v>39</v>
      </c>
      <c r="J101" s="15">
        <v>6907</v>
      </c>
      <c r="K101" s="15" t="s">
        <v>502</v>
      </c>
      <c r="L101" s="15" t="s">
        <v>227</v>
      </c>
      <c r="M101" s="15" t="s">
        <v>228</v>
      </c>
      <c r="N101" s="15" t="s">
        <v>43</v>
      </c>
      <c r="O101" s="15">
        <v>1728</v>
      </c>
      <c r="P101" s="15">
        <v>477</v>
      </c>
      <c r="Q101" s="15">
        <v>477</v>
      </c>
      <c r="R101" s="15">
        <v>477</v>
      </c>
      <c r="S101" s="15">
        <v>763</v>
      </c>
      <c r="T101" s="15">
        <v>25</v>
      </c>
      <c r="U101" s="15">
        <v>0</v>
      </c>
      <c r="V101" s="15" t="s">
        <v>229</v>
      </c>
      <c r="W101" s="15">
        <v>1.8</v>
      </c>
      <c r="X101" s="15" t="s">
        <v>46</v>
      </c>
      <c r="Y101" s="15" t="s">
        <v>412</v>
      </c>
      <c r="Z101" s="15" t="s">
        <v>103</v>
      </c>
      <c r="AA101" s="15" t="b">
        <v>0</v>
      </c>
      <c r="AB101" s="15">
        <v>0</v>
      </c>
      <c r="AC101" s="47">
        <f t="shared" si="2"/>
        <v>45151</v>
      </c>
      <c r="AD101" s="12" t="s">
        <v>370</v>
      </c>
      <c r="AE101" s="12" t="str">
        <f t="shared" si="3"/>
        <v>FreshMenu</v>
      </c>
    </row>
    <row r="102" spans="1:31" customFormat="1" ht="15">
      <c r="A102" s="11">
        <v>174647551706</v>
      </c>
      <c r="B102" s="12" t="b">
        <v>1</v>
      </c>
      <c r="C102" s="12" t="s">
        <v>140</v>
      </c>
      <c r="D102" s="12" t="s">
        <v>503</v>
      </c>
      <c r="E102" s="13" t="s">
        <v>504</v>
      </c>
      <c r="F102" s="12"/>
      <c r="G102" s="12">
        <v>21191609</v>
      </c>
      <c r="H102" s="12" t="s">
        <v>38</v>
      </c>
      <c r="I102" s="12" t="s">
        <v>39</v>
      </c>
      <c r="J102" s="12">
        <v>405912</v>
      </c>
      <c r="K102" s="12" t="s">
        <v>493</v>
      </c>
      <c r="L102" s="12" t="s">
        <v>505</v>
      </c>
      <c r="M102" s="12" t="s">
        <v>506</v>
      </c>
      <c r="N102" s="12" t="s">
        <v>43</v>
      </c>
      <c r="O102" s="12">
        <v>1269</v>
      </c>
      <c r="P102" s="12">
        <v>401</v>
      </c>
      <c r="Q102" s="12">
        <v>401</v>
      </c>
      <c r="R102" s="12">
        <v>401</v>
      </c>
      <c r="S102" s="12">
        <v>478</v>
      </c>
      <c r="T102" s="12">
        <v>25</v>
      </c>
      <c r="U102" s="12">
        <v>0</v>
      </c>
      <c r="V102" s="12" t="s">
        <v>507</v>
      </c>
      <c r="W102" s="12">
        <v>1.7</v>
      </c>
      <c r="X102" s="12" t="s">
        <v>140</v>
      </c>
      <c r="Y102" s="12" t="s">
        <v>412</v>
      </c>
      <c r="Z102" s="12" t="s">
        <v>103</v>
      </c>
      <c r="AA102" s="12" t="b">
        <v>0</v>
      </c>
      <c r="AB102" s="12">
        <v>0</v>
      </c>
      <c r="AC102" s="47">
        <f t="shared" si="2"/>
        <v>45147</v>
      </c>
      <c r="AD102" s="12" t="s">
        <v>370</v>
      </c>
      <c r="AE102" s="12" t="str">
        <f t="shared" si="3"/>
        <v>The Thick Shake Factory</v>
      </c>
    </row>
    <row r="103" spans="1:31" customFormat="1" ht="15">
      <c r="A103" s="14">
        <v>174644435956</v>
      </c>
      <c r="B103" s="15" t="b">
        <v>0</v>
      </c>
      <c r="C103" s="15" t="s">
        <v>46</v>
      </c>
      <c r="D103" s="15" t="s">
        <v>46</v>
      </c>
      <c r="E103" s="16" t="s">
        <v>508</v>
      </c>
      <c r="F103" s="15"/>
      <c r="G103" s="15">
        <v>21191609</v>
      </c>
      <c r="H103" s="15" t="s">
        <v>38</v>
      </c>
      <c r="I103" s="15" t="s">
        <v>39</v>
      </c>
      <c r="J103" s="15">
        <v>398360</v>
      </c>
      <c r="K103" s="15" t="s">
        <v>341</v>
      </c>
      <c r="L103" s="15" t="s">
        <v>342</v>
      </c>
      <c r="M103" s="15" t="s">
        <v>343</v>
      </c>
      <c r="N103" s="15" t="s">
        <v>43</v>
      </c>
      <c r="O103" s="15">
        <v>3238</v>
      </c>
      <c r="P103" s="15">
        <v>516</v>
      </c>
      <c r="Q103" s="15">
        <v>516</v>
      </c>
      <c r="R103" s="15">
        <v>516</v>
      </c>
      <c r="S103" s="15">
        <v>490</v>
      </c>
      <c r="T103" s="15">
        <v>25</v>
      </c>
      <c r="U103" s="15">
        <v>0</v>
      </c>
      <c r="V103" s="15" t="s">
        <v>509</v>
      </c>
      <c r="W103" s="15">
        <v>2.8</v>
      </c>
      <c r="X103" s="15" t="s">
        <v>46</v>
      </c>
      <c r="Y103" s="15" t="s">
        <v>412</v>
      </c>
      <c r="Z103" s="15" t="s">
        <v>345</v>
      </c>
      <c r="AA103" s="15" t="b">
        <v>0</v>
      </c>
      <c r="AB103" s="15">
        <v>0</v>
      </c>
      <c r="AC103" s="47">
        <f t="shared" si="2"/>
        <v>45147</v>
      </c>
      <c r="AD103" s="12" t="s">
        <v>645</v>
      </c>
      <c r="AE103" s="12" t="str">
        <f t="shared" si="3"/>
        <v>Burger Seigneur</v>
      </c>
    </row>
    <row r="104" spans="1:31" customFormat="1" ht="15">
      <c r="A104" s="11">
        <v>174559415025</v>
      </c>
      <c r="B104" s="12" t="b">
        <v>1</v>
      </c>
      <c r="C104" s="12" t="s">
        <v>112</v>
      </c>
      <c r="D104" s="12" t="s">
        <v>510</v>
      </c>
      <c r="E104" s="13" t="s">
        <v>511</v>
      </c>
      <c r="F104" s="12"/>
      <c r="G104" s="12">
        <v>21191609</v>
      </c>
      <c r="H104" s="12" t="s">
        <v>38</v>
      </c>
      <c r="I104" s="12" t="s">
        <v>39</v>
      </c>
      <c r="J104" s="12">
        <v>394626</v>
      </c>
      <c r="K104" s="12" t="s">
        <v>512</v>
      </c>
      <c r="L104" s="12" t="s">
        <v>513</v>
      </c>
      <c r="M104" s="12" t="s">
        <v>514</v>
      </c>
      <c r="N104" s="12" t="s">
        <v>43</v>
      </c>
      <c r="O104" s="12">
        <v>1585</v>
      </c>
      <c r="P104" s="12">
        <v>171</v>
      </c>
      <c r="Q104" s="12">
        <v>171</v>
      </c>
      <c r="R104" s="12">
        <v>171</v>
      </c>
      <c r="S104" s="12">
        <v>225</v>
      </c>
      <c r="T104" s="12">
        <v>25</v>
      </c>
      <c r="U104" s="12">
        <v>0</v>
      </c>
      <c r="V104" s="12" t="s">
        <v>515</v>
      </c>
      <c r="W104" s="12">
        <v>2.8</v>
      </c>
      <c r="X104" s="12" t="s">
        <v>112</v>
      </c>
      <c r="Y104" s="12" t="s">
        <v>412</v>
      </c>
      <c r="Z104" s="12" t="s">
        <v>173</v>
      </c>
      <c r="AA104" s="12" t="b">
        <v>0</v>
      </c>
      <c r="AB104" s="12">
        <v>0</v>
      </c>
      <c r="AC104" s="47">
        <f t="shared" si="2"/>
        <v>45146</v>
      </c>
      <c r="AD104" s="12" t="s">
        <v>173</v>
      </c>
      <c r="AE104" s="12" t="str">
        <f t="shared" si="3"/>
        <v>La Pino'z Pizza</v>
      </c>
    </row>
    <row r="105" spans="1:31" customFormat="1" ht="15">
      <c r="A105" s="14">
        <v>174376605060</v>
      </c>
      <c r="B105" s="15" t="b">
        <v>0</v>
      </c>
      <c r="C105" s="15" t="s">
        <v>46</v>
      </c>
      <c r="D105" s="15" t="s">
        <v>46</v>
      </c>
      <c r="E105" s="16" t="s">
        <v>516</v>
      </c>
      <c r="F105" s="15"/>
      <c r="G105" s="15">
        <v>21191609</v>
      </c>
      <c r="H105" s="15" t="s">
        <v>38</v>
      </c>
      <c r="I105" s="15" t="s">
        <v>39</v>
      </c>
      <c r="J105" s="15">
        <v>47603</v>
      </c>
      <c r="K105" s="15" t="s">
        <v>483</v>
      </c>
      <c r="L105" s="15" t="s">
        <v>484</v>
      </c>
      <c r="M105" s="15" t="s">
        <v>485</v>
      </c>
      <c r="N105" s="15" t="s">
        <v>43</v>
      </c>
      <c r="O105" s="15">
        <v>1720</v>
      </c>
      <c r="P105" s="15">
        <v>645</v>
      </c>
      <c r="Q105" s="15">
        <v>645</v>
      </c>
      <c r="R105" s="15">
        <v>645</v>
      </c>
      <c r="S105" s="15">
        <v>523.83996999999999</v>
      </c>
      <c r="T105" s="15">
        <v>35</v>
      </c>
      <c r="U105" s="15">
        <v>0</v>
      </c>
      <c r="V105" s="15" t="s">
        <v>517</v>
      </c>
      <c r="W105" s="15">
        <v>4.0999999999999996</v>
      </c>
      <c r="X105" s="15" t="s">
        <v>46</v>
      </c>
      <c r="Y105" s="15" t="s">
        <v>412</v>
      </c>
      <c r="Z105" s="15" t="s">
        <v>173</v>
      </c>
      <c r="AA105" s="15" t="b">
        <v>1</v>
      </c>
      <c r="AB105" s="15">
        <v>0</v>
      </c>
      <c r="AC105" s="47">
        <f t="shared" si="2"/>
        <v>45144</v>
      </c>
      <c r="AD105" s="12" t="s">
        <v>173</v>
      </c>
      <c r="AE105" s="12" t="str">
        <f t="shared" si="3"/>
        <v>Truffles</v>
      </c>
    </row>
    <row r="106" spans="1:31" customFormat="1" ht="15">
      <c r="A106" s="11">
        <v>172557699296</v>
      </c>
      <c r="B106" s="12" t="b">
        <v>0</v>
      </c>
      <c r="C106" s="12" t="s">
        <v>46</v>
      </c>
      <c r="D106" s="12" t="s">
        <v>46</v>
      </c>
      <c r="E106" s="13" t="s">
        <v>518</v>
      </c>
      <c r="F106" s="12"/>
      <c r="G106" s="12">
        <v>21191609</v>
      </c>
      <c r="H106" s="12" t="s">
        <v>38</v>
      </c>
      <c r="I106" s="12" t="s">
        <v>39</v>
      </c>
      <c r="J106" s="12">
        <v>660675</v>
      </c>
      <c r="K106" s="12" t="s">
        <v>519</v>
      </c>
      <c r="L106" s="12" t="s">
        <v>520</v>
      </c>
      <c r="M106" s="12" t="s">
        <v>521</v>
      </c>
      <c r="N106" s="12" t="s">
        <v>43</v>
      </c>
      <c r="O106" s="12">
        <v>2004</v>
      </c>
      <c r="P106" s="12">
        <v>186</v>
      </c>
      <c r="Q106" s="12">
        <v>186</v>
      </c>
      <c r="R106" s="12">
        <v>186</v>
      </c>
      <c r="S106" s="12">
        <v>159</v>
      </c>
      <c r="T106" s="12">
        <v>45</v>
      </c>
      <c r="U106" s="12">
        <v>0</v>
      </c>
      <c r="V106" s="12" t="s">
        <v>522</v>
      </c>
      <c r="W106" s="12">
        <v>5.8</v>
      </c>
      <c r="X106" s="12" t="s">
        <v>46</v>
      </c>
      <c r="Y106" s="12" t="s">
        <v>412</v>
      </c>
      <c r="Z106" s="12" t="s">
        <v>236</v>
      </c>
      <c r="AA106" s="12" t="b">
        <v>0</v>
      </c>
      <c r="AB106" s="12">
        <v>0</v>
      </c>
      <c r="AC106" s="47">
        <f t="shared" si="2"/>
        <v>45123</v>
      </c>
      <c r="AD106" s="12" t="s">
        <v>236</v>
      </c>
      <c r="AE106" s="12" t="str">
        <f t="shared" si="3"/>
        <v>Cafe Amudham</v>
      </c>
    </row>
    <row r="107" spans="1:31" customFormat="1" ht="15">
      <c r="A107" s="14">
        <v>171953923401</v>
      </c>
      <c r="B107" s="15" t="b">
        <v>0</v>
      </c>
      <c r="C107" s="15" t="s">
        <v>46</v>
      </c>
      <c r="D107" s="15" t="s">
        <v>46</v>
      </c>
      <c r="E107" s="16" t="s">
        <v>523</v>
      </c>
      <c r="F107" s="15"/>
      <c r="G107" s="15">
        <v>21191609</v>
      </c>
      <c r="H107" s="15" t="s">
        <v>38</v>
      </c>
      <c r="I107" s="15" t="s">
        <v>39</v>
      </c>
      <c r="J107" s="15">
        <v>416272</v>
      </c>
      <c r="K107" s="15" t="s">
        <v>524</v>
      </c>
      <c r="L107" s="15" t="s">
        <v>525</v>
      </c>
      <c r="M107" s="15" t="s">
        <v>526</v>
      </c>
      <c r="N107" s="15" t="s">
        <v>43</v>
      </c>
      <c r="O107" s="15">
        <v>2648</v>
      </c>
      <c r="P107" s="15">
        <v>1136</v>
      </c>
      <c r="Q107" s="15">
        <v>1136</v>
      </c>
      <c r="R107" s="15">
        <v>1136</v>
      </c>
      <c r="S107" s="15">
        <v>1050</v>
      </c>
      <c r="T107" s="15">
        <v>29</v>
      </c>
      <c r="U107" s="15">
        <v>0</v>
      </c>
      <c r="V107" s="15" t="s">
        <v>527</v>
      </c>
      <c r="W107" s="15">
        <v>1.7</v>
      </c>
      <c r="X107" s="15" t="s">
        <v>46</v>
      </c>
      <c r="Y107" s="15" t="s">
        <v>412</v>
      </c>
      <c r="Z107" s="15" t="s">
        <v>103</v>
      </c>
      <c r="AA107" s="15" t="b">
        <v>0</v>
      </c>
      <c r="AB107" s="15">
        <v>0</v>
      </c>
      <c r="AC107" s="47">
        <f t="shared" si="2"/>
        <v>45116</v>
      </c>
      <c r="AD107" s="12" t="s">
        <v>370</v>
      </c>
      <c r="AE107" s="12" t="str">
        <f t="shared" si="3"/>
        <v>Table for Tous</v>
      </c>
    </row>
    <row r="108" spans="1:31" customFormat="1" ht="15">
      <c r="A108" s="11">
        <v>171863054117</v>
      </c>
      <c r="B108" s="12" t="b">
        <v>1</v>
      </c>
      <c r="C108" s="12" t="s">
        <v>112</v>
      </c>
      <c r="D108" s="12" t="s">
        <v>528</v>
      </c>
      <c r="E108" s="13" t="s">
        <v>529</v>
      </c>
      <c r="F108" s="12"/>
      <c r="G108" s="12">
        <v>21191609</v>
      </c>
      <c r="H108" s="12" t="s">
        <v>38</v>
      </c>
      <c r="I108" s="12" t="s">
        <v>39</v>
      </c>
      <c r="J108" s="12">
        <v>660675</v>
      </c>
      <c r="K108" s="12" t="s">
        <v>519</v>
      </c>
      <c r="L108" s="12" t="s">
        <v>520</v>
      </c>
      <c r="M108" s="12" t="s">
        <v>521</v>
      </c>
      <c r="N108" s="12" t="s">
        <v>43</v>
      </c>
      <c r="O108" s="12">
        <v>1734</v>
      </c>
      <c r="P108" s="12">
        <v>170</v>
      </c>
      <c r="Q108" s="12">
        <v>170</v>
      </c>
      <c r="R108" s="12">
        <v>170</v>
      </c>
      <c r="S108" s="12">
        <v>179</v>
      </c>
      <c r="T108" s="12">
        <v>47</v>
      </c>
      <c r="U108" s="12">
        <v>0</v>
      </c>
      <c r="V108" s="12" t="s">
        <v>522</v>
      </c>
      <c r="W108" s="44">
        <v>6</v>
      </c>
      <c r="X108" s="44" t="s">
        <v>112</v>
      </c>
      <c r="Y108" s="44" t="s">
        <v>412</v>
      </c>
      <c r="Z108" s="44" t="s">
        <v>236</v>
      </c>
      <c r="AA108" s="44" t="b">
        <v>1</v>
      </c>
      <c r="AB108" s="44">
        <v>0</v>
      </c>
      <c r="AC108" s="48">
        <f t="shared" si="2"/>
        <v>45115</v>
      </c>
      <c r="AD108" s="44" t="s">
        <v>236</v>
      </c>
      <c r="AE108" s="44" t="str">
        <f t="shared" si="3"/>
        <v>Cafe Amudham</v>
      </c>
    </row>
  </sheetData>
  <autoFilter ref="A1:AE108" xr:uid="{757DD077-D822-4ACD-A234-F73815B9E24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D2CE-4857-43AE-B2ED-1322B742E010}">
  <dimension ref="A1:B7"/>
  <sheetViews>
    <sheetView zoomScaleNormal="100" workbookViewId="0">
      <selection activeCell="C16" sqref="C16"/>
    </sheetView>
  </sheetViews>
  <sheetFormatPr defaultRowHeight="13.8"/>
  <cols>
    <col min="1" max="1" width="29.796875" customWidth="1"/>
    <col min="2" max="2" width="20.19921875" customWidth="1"/>
    <col min="7" max="7" width="21.19921875" customWidth="1"/>
    <col min="8" max="8" width="11.69921875" customWidth="1"/>
  </cols>
  <sheetData>
    <row r="1" spans="1:2" ht="17.399999999999999">
      <c r="A1" s="17" t="s">
        <v>31</v>
      </c>
      <c r="B1" s="17" t="s">
        <v>658</v>
      </c>
    </row>
    <row r="2" spans="1:2" ht="17.399999999999999">
      <c r="A2" s="18" t="s">
        <v>68</v>
      </c>
      <c r="B2" s="18" t="s">
        <v>644</v>
      </c>
    </row>
    <row r="3" spans="1:2" ht="17.399999999999999">
      <c r="A3" s="18" t="s">
        <v>77</v>
      </c>
      <c r="B3" s="18" t="s">
        <v>644</v>
      </c>
    </row>
    <row r="4" spans="1:2" ht="17.399999999999999">
      <c r="A4" s="18" t="s">
        <v>103</v>
      </c>
      <c r="B4" s="18" t="s">
        <v>370</v>
      </c>
    </row>
    <row r="5" spans="1:2" ht="17.399999999999999">
      <c r="A5" s="18" t="s">
        <v>180</v>
      </c>
      <c r="B5" s="18" t="s">
        <v>173</v>
      </c>
    </row>
    <row r="6" spans="1:2" ht="17.399999999999999">
      <c r="A6" s="18" t="s">
        <v>345</v>
      </c>
      <c r="B6" s="18" t="s">
        <v>645</v>
      </c>
    </row>
    <row r="7" spans="1:2" ht="17.399999999999999">
      <c r="A7" s="18" t="s">
        <v>178</v>
      </c>
      <c r="B7" s="18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65E5-6F77-41E2-97D4-FB68072A030C}">
  <dimension ref="A1:G171"/>
  <sheetViews>
    <sheetView zoomScale="70" zoomScaleNormal="70" workbookViewId="0">
      <selection activeCell="G8" sqref="G8"/>
    </sheetView>
  </sheetViews>
  <sheetFormatPr defaultColWidth="9.09765625" defaultRowHeight="13.8"/>
  <cols>
    <col min="1" max="1" width="21.296875" style="2" customWidth="1"/>
    <col min="2" max="2" width="51.796875" style="1" bestFit="1" customWidth="1"/>
    <col min="3" max="3" width="22.19921875" style="1" customWidth="1"/>
    <col min="4" max="4" width="24.09765625" style="1" customWidth="1"/>
    <col min="5" max="5" width="16.09765625" style="1" customWidth="1"/>
    <col min="6" max="16384" width="9.09765625" style="1"/>
  </cols>
  <sheetData>
    <row r="1" spans="1:7" ht="15.6">
      <c r="A1" s="20" t="s">
        <v>6</v>
      </c>
      <c r="B1" s="21" t="s">
        <v>530</v>
      </c>
      <c r="C1" s="21" t="s">
        <v>531</v>
      </c>
      <c r="D1" s="21" t="s">
        <v>532</v>
      </c>
      <c r="E1" s="43" t="s">
        <v>660</v>
      </c>
    </row>
    <row r="2" spans="1:7" ht="15">
      <c r="A2" s="14">
        <v>175244332362622</v>
      </c>
      <c r="B2" s="15" t="s">
        <v>533</v>
      </c>
      <c r="C2" s="15">
        <v>0</v>
      </c>
      <c r="D2" s="15">
        <v>1</v>
      </c>
      <c r="E2" s="15" t="str">
        <f>IF(C2 = 0, "Non-Veg", "Veg")</f>
        <v>Non-Veg</v>
      </c>
      <c r="G2" s="1" t="s">
        <v>661</v>
      </c>
    </row>
    <row r="3" spans="1:7" ht="15">
      <c r="A3" s="14">
        <v>175167017704058</v>
      </c>
      <c r="B3" s="15" t="s">
        <v>534</v>
      </c>
      <c r="C3" s="15">
        <v>0</v>
      </c>
      <c r="D3" s="15">
        <v>1</v>
      </c>
      <c r="E3" s="15" t="str">
        <f t="shared" ref="E3:E66" si="0">IF(C3 = 0, "Non-Veg", "Veg")</f>
        <v>Non-Veg</v>
      </c>
    </row>
    <row r="4" spans="1:7" ht="15">
      <c r="A4" s="14">
        <v>175167017704058</v>
      </c>
      <c r="B4" s="15" t="s">
        <v>535</v>
      </c>
      <c r="C4" s="15">
        <v>0</v>
      </c>
      <c r="D4" s="15">
        <v>1</v>
      </c>
      <c r="E4" s="15" t="str">
        <f t="shared" si="0"/>
        <v>Non-Veg</v>
      </c>
    </row>
    <row r="5" spans="1:7" ht="15">
      <c r="A5" s="14">
        <v>175017114796029</v>
      </c>
      <c r="B5" s="15" t="s">
        <v>536</v>
      </c>
      <c r="C5" s="15">
        <v>0</v>
      </c>
      <c r="D5" s="15">
        <v>1</v>
      </c>
      <c r="E5" s="15" t="str">
        <f t="shared" si="0"/>
        <v>Non-Veg</v>
      </c>
    </row>
    <row r="6" spans="1:7" ht="15">
      <c r="A6" s="14">
        <v>175017114796029</v>
      </c>
      <c r="B6" s="15" t="s">
        <v>537</v>
      </c>
      <c r="C6" s="15">
        <v>1</v>
      </c>
      <c r="D6" s="15">
        <v>1</v>
      </c>
      <c r="E6" s="15" t="str">
        <f t="shared" si="0"/>
        <v>Veg</v>
      </c>
    </row>
    <row r="7" spans="1:7" ht="15">
      <c r="A7" s="14">
        <v>174973046023416</v>
      </c>
      <c r="B7" s="15" t="s">
        <v>538</v>
      </c>
      <c r="C7" s="15">
        <v>1</v>
      </c>
      <c r="D7" s="15">
        <v>1</v>
      </c>
      <c r="E7" s="15" t="str">
        <f t="shared" si="0"/>
        <v>Veg</v>
      </c>
    </row>
    <row r="8" spans="1:7" ht="15">
      <c r="A8" s="14">
        <v>174973046023416</v>
      </c>
      <c r="B8" s="15" t="s">
        <v>539</v>
      </c>
      <c r="C8" s="15">
        <v>1</v>
      </c>
      <c r="D8" s="15">
        <v>1</v>
      </c>
      <c r="E8" s="15" t="str">
        <f t="shared" si="0"/>
        <v>Veg</v>
      </c>
    </row>
    <row r="9" spans="1:7" ht="15">
      <c r="A9" s="14">
        <v>174906705849277</v>
      </c>
      <c r="B9" s="15" t="s">
        <v>540</v>
      </c>
      <c r="C9" s="15">
        <v>0</v>
      </c>
      <c r="D9" s="15">
        <v>1</v>
      </c>
      <c r="E9" s="15" t="str">
        <f t="shared" si="0"/>
        <v>Non-Veg</v>
      </c>
    </row>
    <row r="10" spans="1:7" ht="15">
      <c r="A10" s="14">
        <v>174906705849277</v>
      </c>
      <c r="B10" s="15" t="s">
        <v>541</v>
      </c>
      <c r="C10" s="15">
        <v>1</v>
      </c>
      <c r="D10" s="15">
        <v>1</v>
      </c>
      <c r="E10" s="15" t="str">
        <f t="shared" si="0"/>
        <v>Veg</v>
      </c>
    </row>
    <row r="11" spans="1:7" ht="15">
      <c r="A11" s="14">
        <v>174329455765789</v>
      </c>
      <c r="B11" s="15" t="s">
        <v>542</v>
      </c>
      <c r="C11" s="15">
        <v>1</v>
      </c>
      <c r="D11" s="15">
        <v>1</v>
      </c>
      <c r="E11" s="15" t="str">
        <f t="shared" si="0"/>
        <v>Veg</v>
      </c>
    </row>
    <row r="12" spans="1:7" ht="15">
      <c r="A12" s="14">
        <v>174329455765789</v>
      </c>
      <c r="B12" s="15" t="s">
        <v>543</v>
      </c>
      <c r="C12" s="15">
        <v>0</v>
      </c>
      <c r="D12" s="15">
        <v>1</v>
      </c>
      <c r="E12" s="15" t="str">
        <f t="shared" si="0"/>
        <v>Non-Veg</v>
      </c>
    </row>
    <row r="13" spans="1:7" ht="15">
      <c r="A13" s="14">
        <v>174318296922309</v>
      </c>
      <c r="B13" s="15" t="s">
        <v>544</v>
      </c>
      <c r="C13" s="15">
        <v>1</v>
      </c>
      <c r="D13" s="15">
        <v>1</v>
      </c>
      <c r="E13" s="15" t="str">
        <f t="shared" si="0"/>
        <v>Veg</v>
      </c>
    </row>
    <row r="14" spans="1:7" ht="15">
      <c r="A14" s="14">
        <v>174318296922309</v>
      </c>
      <c r="B14" s="15" t="s">
        <v>545</v>
      </c>
      <c r="C14" s="15">
        <v>1</v>
      </c>
      <c r="D14" s="15">
        <v>1</v>
      </c>
      <c r="E14" s="15" t="str">
        <f t="shared" si="0"/>
        <v>Veg</v>
      </c>
    </row>
    <row r="15" spans="1:7" ht="15">
      <c r="A15" s="14">
        <v>174118005152904</v>
      </c>
      <c r="B15" s="15" t="s">
        <v>546</v>
      </c>
      <c r="C15" s="15">
        <v>0</v>
      </c>
      <c r="D15" s="15">
        <v>1</v>
      </c>
      <c r="E15" s="15" t="str">
        <f t="shared" si="0"/>
        <v>Non-Veg</v>
      </c>
    </row>
    <row r="16" spans="1:7" ht="15">
      <c r="A16" s="14">
        <v>174075356745024</v>
      </c>
      <c r="B16" s="15" t="s">
        <v>547</v>
      </c>
      <c r="C16" s="15">
        <v>0</v>
      </c>
      <c r="D16" s="15">
        <v>1</v>
      </c>
      <c r="E16" s="15" t="str">
        <f t="shared" si="0"/>
        <v>Non-Veg</v>
      </c>
    </row>
    <row r="17" spans="1:5" ht="15">
      <c r="A17" s="14">
        <v>174075356745024</v>
      </c>
      <c r="B17" s="15" t="s">
        <v>548</v>
      </c>
      <c r="C17" s="15">
        <v>1</v>
      </c>
      <c r="D17" s="15">
        <v>1</v>
      </c>
      <c r="E17" s="15" t="str">
        <f t="shared" si="0"/>
        <v>Veg</v>
      </c>
    </row>
    <row r="18" spans="1:5" ht="15">
      <c r="A18" s="14">
        <v>174067299373268</v>
      </c>
      <c r="B18" s="15" t="s">
        <v>548</v>
      </c>
      <c r="C18" s="15">
        <v>1</v>
      </c>
      <c r="D18" s="15">
        <v>1</v>
      </c>
      <c r="E18" s="15" t="str">
        <f t="shared" si="0"/>
        <v>Veg</v>
      </c>
    </row>
    <row r="19" spans="1:5" ht="15">
      <c r="A19" s="14">
        <v>174067299373268</v>
      </c>
      <c r="B19" s="15" t="s">
        <v>549</v>
      </c>
      <c r="C19" s="15">
        <v>0</v>
      </c>
      <c r="D19" s="15">
        <v>1</v>
      </c>
      <c r="E19" s="15" t="str">
        <f t="shared" si="0"/>
        <v>Non-Veg</v>
      </c>
    </row>
    <row r="20" spans="1:5" ht="15">
      <c r="A20" s="14">
        <v>174058332503576</v>
      </c>
      <c r="B20" s="15" t="s">
        <v>550</v>
      </c>
      <c r="C20" s="15">
        <v>0</v>
      </c>
      <c r="D20" s="15">
        <v>1</v>
      </c>
      <c r="E20" s="15" t="str">
        <f t="shared" si="0"/>
        <v>Non-Veg</v>
      </c>
    </row>
    <row r="21" spans="1:5" ht="15">
      <c r="A21" s="14">
        <v>174037702433562</v>
      </c>
      <c r="B21" s="15" t="s">
        <v>551</v>
      </c>
      <c r="C21" s="15">
        <v>0</v>
      </c>
      <c r="D21" s="15">
        <v>1</v>
      </c>
      <c r="E21" s="15" t="str">
        <f t="shared" si="0"/>
        <v>Non-Veg</v>
      </c>
    </row>
    <row r="22" spans="1:5" ht="15">
      <c r="A22" s="14">
        <v>174026206595017</v>
      </c>
      <c r="B22" s="15" t="s">
        <v>539</v>
      </c>
      <c r="C22" s="15">
        <v>1</v>
      </c>
      <c r="D22" s="15">
        <v>1</v>
      </c>
      <c r="E22" s="15" t="str">
        <f t="shared" si="0"/>
        <v>Veg</v>
      </c>
    </row>
    <row r="23" spans="1:5" ht="15">
      <c r="A23" s="14">
        <v>173972919485563</v>
      </c>
      <c r="B23" s="15" t="s">
        <v>533</v>
      </c>
      <c r="C23" s="15">
        <v>0</v>
      </c>
      <c r="D23" s="15">
        <v>1</v>
      </c>
      <c r="E23" s="15" t="str">
        <f t="shared" si="0"/>
        <v>Non-Veg</v>
      </c>
    </row>
    <row r="24" spans="1:5" ht="15">
      <c r="A24" s="14">
        <v>173961191807457</v>
      </c>
      <c r="B24" s="15" t="s">
        <v>552</v>
      </c>
      <c r="C24" s="15">
        <v>0</v>
      </c>
      <c r="D24" s="15">
        <v>1</v>
      </c>
      <c r="E24" s="15" t="str">
        <f t="shared" si="0"/>
        <v>Non-Veg</v>
      </c>
    </row>
    <row r="25" spans="1:5" ht="15">
      <c r="A25" s="14">
        <v>173961191807457</v>
      </c>
      <c r="B25" s="15" t="s">
        <v>553</v>
      </c>
      <c r="C25" s="15">
        <v>0</v>
      </c>
      <c r="D25" s="15">
        <v>1</v>
      </c>
      <c r="E25" s="15" t="str">
        <f t="shared" si="0"/>
        <v>Non-Veg</v>
      </c>
    </row>
    <row r="26" spans="1:5" ht="15">
      <c r="A26" s="14">
        <v>173953404362535</v>
      </c>
      <c r="B26" s="15" t="s">
        <v>540</v>
      </c>
      <c r="C26" s="15">
        <v>0</v>
      </c>
      <c r="D26" s="15">
        <v>1</v>
      </c>
      <c r="E26" s="15" t="str">
        <f t="shared" si="0"/>
        <v>Non-Veg</v>
      </c>
    </row>
    <row r="27" spans="1:5" ht="15">
      <c r="A27" s="14">
        <v>173953404362535</v>
      </c>
      <c r="B27" s="15" t="s">
        <v>541</v>
      </c>
      <c r="C27" s="15">
        <v>1</v>
      </c>
      <c r="D27" s="15">
        <v>1</v>
      </c>
      <c r="E27" s="15" t="str">
        <f t="shared" si="0"/>
        <v>Veg</v>
      </c>
    </row>
    <row r="28" spans="1:5" ht="15">
      <c r="A28" s="14">
        <v>173934793528823</v>
      </c>
      <c r="B28" s="15" t="s">
        <v>539</v>
      </c>
      <c r="C28" s="15">
        <v>1</v>
      </c>
      <c r="D28" s="15">
        <v>1</v>
      </c>
      <c r="E28" s="15" t="str">
        <f t="shared" si="0"/>
        <v>Veg</v>
      </c>
    </row>
    <row r="29" spans="1:5" ht="15">
      <c r="A29" s="14">
        <v>173886476249693</v>
      </c>
      <c r="B29" s="15" t="s">
        <v>539</v>
      </c>
      <c r="C29" s="15">
        <v>1</v>
      </c>
      <c r="D29" s="15">
        <v>1</v>
      </c>
      <c r="E29" s="15" t="str">
        <f t="shared" si="0"/>
        <v>Veg</v>
      </c>
    </row>
    <row r="30" spans="1:5" ht="15">
      <c r="A30" s="14">
        <v>173886476249693</v>
      </c>
      <c r="B30" s="15" t="s">
        <v>554</v>
      </c>
      <c r="C30" s="15">
        <v>1</v>
      </c>
      <c r="D30" s="15">
        <v>1</v>
      </c>
      <c r="E30" s="15" t="str">
        <f t="shared" si="0"/>
        <v>Veg</v>
      </c>
    </row>
    <row r="31" spans="1:5" ht="15">
      <c r="A31" s="14">
        <v>173848012476255</v>
      </c>
      <c r="B31" s="15" t="s">
        <v>539</v>
      </c>
      <c r="C31" s="15">
        <v>1</v>
      </c>
      <c r="D31" s="15">
        <v>1</v>
      </c>
      <c r="E31" s="15" t="str">
        <f t="shared" si="0"/>
        <v>Veg</v>
      </c>
    </row>
    <row r="32" spans="1:5" ht="15">
      <c r="A32" s="14">
        <v>173848012476255</v>
      </c>
      <c r="B32" s="15" t="s">
        <v>555</v>
      </c>
      <c r="C32" s="15">
        <v>1</v>
      </c>
      <c r="D32" s="15">
        <v>1</v>
      </c>
      <c r="E32" s="15" t="str">
        <f t="shared" si="0"/>
        <v>Veg</v>
      </c>
    </row>
    <row r="33" spans="1:5" ht="15">
      <c r="A33" s="14">
        <v>173787961265182</v>
      </c>
      <c r="B33" s="15" t="s">
        <v>556</v>
      </c>
      <c r="C33" s="15">
        <v>1</v>
      </c>
      <c r="D33" s="15">
        <v>1</v>
      </c>
      <c r="E33" s="15" t="str">
        <f t="shared" si="0"/>
        <v>Veg</v>
      </c>
    </row>
    <row r="34" spans="1:5" ht="15">
      <c r="A34" s="14">
        <v>173787961265182</v>
      </c>
      <c r="B34" s="15" t="s">
        <v>557</v>
      </c>
      <c r="C34" s="15">
        <v>0</v>
      </c>
      <c r="D34" s="15">
        <v>1</v>
      </c>
      <c r="E34" s="15" t="str">
        <f t="shared" si="0"/>
        <v>Non-Veg</v>
      </c>
    </row>
    <row r="35" spans="1:5" ht="15">
      <c r="A35" s="14">
        <v>173787961265182</v>
      </c>
      <c r="B35" s="15" t="s">
        <v>550</v>
      </c>
      <c r="C35" s="15">
        <v>0</v>
      </c>
      <c r="D35" s="15">
        <v>1</v>
      </c>
      <c r="E35" s="15" t="str">
        <f t="shared" si="0"/>
        <v>Non-Veg</v>
      </c>
    </row>
    <row r="36" spans="1:5" ht="15">
      <c r="A36" s="14">
        <v>173627120783219</v>
      </c>
      <c r="B36" s="15" t="s">
        <v>558</v>
      </c>
      <c r="C36" s="15">
        <v>0</v>
      </c>
      <c r="D36" s="15">
        <v>1</v>
      </c>
      <c r="E36" s="15" t="str">
        <f t="shared" si="0"/>
        <v>Non-Veg</v>
      </c>
    </row>
    <row r="37" spans="1:5" ht="15">
      <c r="A37" s="14">
        <v>173528899495632</v>
      </c>
      <c r="B37" s="15" t="s">
        <v>545</v>
      </c>
      <c r="C37" s="15">
        <v>1</v>
      </c>
      <c r="D37" s="15">
        <v>1</v>
      </c>
      <c r="E37" s="15" t="str">
        <f t="shared" si="0"/>
        <v>Veg</v>
      </c>
    </row>
    <row r="38" spans="1:5" ht="15">
      <c r="A38" s="14">
        <v>173528899495632</v>
      </c>
      <c r="B38" s="15" t="s">
        <v>533</v>
      </c>
      <c r="C38" s="15">
        <v>0</v>
      </c>
      <c r="D38" s="15">
        <v>2</v>
      </c>
      <c r="E38" s="15" t="str">
        <f t="shared" si="0"/>
        <v>Non-Veg</v>
      </c>
    </row>
    <row r="39" spans="1:5" ht="15">
      <c r="A39" s="14">
        <v>173508364352211</v>
      </c>
      <c r="B39" s="15" t="s">
        <v>559</v>
      </c>
      <c r="C39" s="15">
        <v>1</v>
      </c>
      <c r="D39" s="15">
        <v>1</v>
      </c>
      <c r="E39" s="15" t="str">
        <f t="shared" si="0"/>
        <v>Veg</v>
      </c>
    </row>
    <row r="40" spans="1:5" ht="15">
      <c r="A40" s="14">
        <v>173508364352211</v>
      </c>
      <c r="B40" s="15" t="s">
        <v>560</v>
      </c>
      <c r="C40" s="15">
        <v>1</v>
      </c>
      <c r="D40" s="15">
        <v>2</v>
      </c>
      <c r="E40" s="15" t="str">
        <f t="shared" si="0"/>
        <v>Veg</v>
      </c>
    </row>
    <row r="41" spans="1:5" ht="15">
      <c r="A41" s="14">
        <v>173162395766364</v>
      </c>
      <c r="B41" s="15" t="s">
        <v>538</v>
      </c>
      <c r="C41" s="15">
        <v>1</v>
      </c>
      <c r="D41" s="15">
        <v>2</v>
      </c>
      <c r="E41" s="15" t="str">
        <f t="shared" si="0"/>
        <v>Veg</v>
      </c>
    </row>
    <row r="42" spans="1:5" ht="15">
      <c r="A42" s="14">
        <v>173162395766364</v>
      </c>
      <c r="B42" s="15" t="s">
        <v>560</v>
      </c>
      <c r="C42" s="15">
        <v>1</v>
      </c>
      <c r="D42" s="15">
        <v>1</v>
      </c>
      <c r="E42" s="15" t="str">
        <f t="shared" si="0"/>
        <v>Veg</v>
      </c>
    </row>
    <row r="43" spans="1:5" ht="15">
      <c r="A43" s="14">
        <v>173162271836174</v>
      </c>
      <c r="B43" s="15" t="s">
        <v>560</v>
      </c>
      <c r="C43" s="15">
        <v>1</v>
      </c>
      <c r="D43" s="15">
        <v>1</v>
      </c>
      <c r="E43" s="15" t="str">
        <f t="shared" si="0"/>
        <v>Veg</v>
      </c>
    </row>
    <row r="44" spans="1:5" ht="15">
      <c r="A44" s="14">
        <v>173162271836174</v>
      </c>
      <c r="B44" s="15" t="s">
        <v>538</v>
      </c>
      <c r="C44" s="15">
        <v>1</v>
      </c>
      <c r="D44" s="15">
        <v>2</v>
      </c>
      <c r="E44" s="15" t="str">
        <f t="shared" si="0"/>
        <v>Veg</v>
      </c>
    </row>
    <row r="45" spans="1:5" ht="15">
      <c r="A45" s="14">
        <v>173021459533483</v>
      </c>
      <c r="B45" s="15" t="s">
        <v>561</v>
      </c>
      <c r="C45" s="15">
        <v>0</v>
      </c>
      <c r="D45" s="15">
        <v>1</v>
      </c>
      <c r="E45" s="15" t="str">
        <f t="shared" si="0"/>
        <v>Non-Veg</v>
      </c>
    </row>
    <row r="46" spans="1:5" ht="15">
      <c r="A46" s="14">
        <v>172937451496694</v>
      </c>
      <c r="B46" s="15" t="s">
        <v>562</v>
      </c>
      <c r="C46" s="15">
        <v>0</v>
      </c>
      <c r="D46" s="15">
        <v>1</v>
      </c>
      <c r="E46" s="15" t="str">
        <f t="shared" si="0"/>
        <v>Non-Veg</v>
      </c>
    </row>
    <row r="47" spans="1:5" ht="15">
      <c r="A47" s="14">
        <v>172865582370674</v>
      </c>
      <c r="B47" s="15" t="s">
        <v>563</v>
      </c>
      <c r="C47" s="15">
        <v>1</v>
      </c>
      <c r="D47" s="15">
        <v>1</v>
      </c>
      <c r="E47" s="15" t="str">
        <f t="shared" si="0"/>
        <v>Veg</v>
      </c>
    </row>
    <row r="48" spans="1:5" ht="15">
      <c r="A48" s="14">
        <v>172849812190412</v>
      </c>
      <c r="B48" s="15" t="s">
        <v>540</v>
      </c>
      <c r="C48" s="15">
        <v>0</v>
      </c>
      <c r="D48" s="15">
        <v>1</v>
      </c>
      <c r="E48" s="15" t="str">
        <f t="shared" si="0"/>
        <v>Non-Veg</v>
      </c>
    </row>
    <row r="49" spans="1:5" ht="15">
      <c r="A49" s="14">
        <v>172765721740638</v>
      </c>
      <c r="B49" s="15" t="s">
        <v>564</v>
      </c>
      <c r="C49" s="15">
        <v>0</v>
      </c>
      <c r="D49" s="15">
        <v>1</v>
      </c>
      <c r="E49" s="15" t="str">
        <f t="shared" si="0"/>
        <v>Non-Veg</v>
      </c>
    </row>
    <row r="50" spans="1:5" ht="15">
      <c r="A50" s="14">
        <v>172765721740638</v>
      </c>
      <c r="B50" s="15" t="s">
        <v>565</v>
      </c>
      <c r="C50" s="15">
        <v>0</v>
      </c>
      <c r="D50" s="15">
        <v>1</v>
      </c>
      <c r="E50" s="15" t="str">
        <f t="shared" si="0"/>
        <v>Non-Veg</v>
      </c>
    </row>
    <row r="51" spans="1:5" ht="15">
      <c r="A51" s="14">
        <v>172415621290914</v>
      </c>
      <c r="B51" s="15" t="s">
        <v>565</v>
      </c>
      <c r="C51" s="15">
        <v>0</v>
      </c>
      <c r="D51" s="15">
        <v>1</v>
      </c>
      <c r="E51" s="15" t="str">
        <f t="shared" si="0"/>
        <v>Non-Veg</v>
      </c>
    </row>
    <row r="52" spans="1:5" ht="15">
      <c r="A52" s="14">
        <v>171120236353593</v>
      </c>
      <c r="B52" s="15" t="s">
        <v>565</v>
      </c>
      <c r="C52" s="15">
        <v>0</v>
      </c>
      <c r="D52" s="15">
        <v>1</v>
      </c>
      <c r="E52" s="15" t="str">
        <f t="shared" si="0"/>
        <v>Non-Veg</v>
      </c>
    </row>
    <row r="53" spans="1:5" ht="15">
      <c r="A53" s="14">
        <v>170949181342493</v>
      </c>
      <c r="B53" s="15" t="s">
        <v>565</v>
      </c>
      <c r="C53" s="15">
        <v>0</v>
      </c>
      <c r="D53" s="15">
        <v>1</v>
      </c>
      <c r="E53" s="15" t="str">
        <f t="shared" si="0"/>
        <v>Non-Veg</v>
      </c>
    </row>
    <row r="54" spans="1:5" ht="15">
      <c r="A54" s="14">
        <v>170849767634192</v>
      </c>
      <c r="B54" s="15" t="s">
        <v>565</v>
      </c>
      <c r="C54" s="15">
        <v>0</v>
      </c>
      <c r="D54" s="15">
        <v>1</v>
      </c>
      <c r="E54" s="15" t="str">
        <f t="shared" si="0"/>
        <v>Non-Veg</v>
      </c>
    </row>
    <row r="55" spans="1:5" ht="15">
      <c r="A55" s="14">
        <v>170326417874188</v>
      </c>
      <c r="B55" s="15" t="s">
        <v>566</v>
      </c>
      <c r="C55" s="15">
        <v>0</v>
      </c>
      <c r="D55" s="15">
        <v>1</v>
      </c>
      <c r="E55" s="15" t="str">
        <f t="shared" si="0"/>
        <v>Non-Veg</v>
      </c>
    </row>
    <row r="56" spans="1:5" ht="15">
      <c r="A56" s="14">
        <v>169997934599848</v>
      </c>
      <c r="B56" s="15" t="s">
        <v>566</v>
      </c>
      <c r="C56" s="15">
        <v>0</v>
      </c>
      <c r="D56" s="15">
        <v>1</v>
      </c>
      <c r="E56" s="15" t="str">
        <f t="shared" si="0"/>
        <v>Non-Veg</v>
      </c>
    </row>
    <row r="57" spans="1:5" ht="15">
      <c r="A57" s="14">
        <v>169997934599848</v>
      </c>
      <c r="B57" s="15" t="s">
        <v>567</v>
      </c>
      <c r="C57" s="15">
        <v>0</v>
      </c>
      <c r="D57" s="15">
        <v>1</v>
      </c>
      <c r="E57" s="15" t="str">
        <f t="shared" si="0"/>
        <v>Non-Veg</v>
      </c>
    </row>
    <row r="58" spans="1:5" ht="15">
      <c r="A58" s="14">
        <v>169054716176265</v>
      </c>
      <c r="B58" s="15" t="s">
        <v>566</v>
      </c>
      <c r="C58" s="15">
        <v>0</v>
      </c>
      <c r="D58" s="15">
        <v>1</v>
      </c>
      <c r="E58" s="15" t="str">
        <f t="shared" si="0"/>
        <v>Non-Veg</v>
      </c>
    </row>
    <row r="59" spans="1:5" ht="15">
      <c r="A59" s="14">
        <v>168959031219038</v>
      </c>
      <c r="B59" s="15" t="s">
        <v>567</v>
      </c>
      <c r="C59" s="15">
        <v>0</v>
      </c>
      <c r="D59" s="15">
        <v>1</v>
      </c>
      <c r="E59" s="15" t="str">
        <f t="shared" si="0"/>
        <v>Non-Veg</v>
      </c>
    </row>
    <row r="60" spans="1:5" ht="15">
      <c r="A60" s="14">
        <v>168877172918547</v>
      </c>
      <c r="B60" s="15" t="s">
        <v>568</v>
      </c>
      <c r="C60" s="15">
        <v>0</v>
      </c>
      <c r="D60" s="15">
        <v>1</v>
      </c>
      <c r="E60" s="15" t="str">
        <f t="shared" si="0"/>
        <v>Non-Veg</v>
      </c>
    </row>
    <row r="61" spans="1:5" ht="15">
      <c r="A61" s="14">
        <v>168622214022977</v>
      </c>
      <c r="B61" s="15" t="s">
        <v>567</v>
      </c>
      <c r="C61" s="15">
        <v>0</v>
      </c>
      <c r="D61" s="15">
        <v>1</v>
      </c>
      <c r="E61" s="15" t="str">
        <f t="shared" si="0"/>
        <v>Non-Veg</v>
      </c>
    </row>
    <row r="62" spans="1:5" ht="15">
      <c r="A62" s="14">
        <v>168513609258675</v>
      </c>
      <c r="B62" s="15" t="s">
        <v>535</v>
      </c>
      <c r="C62" s="15">
        <v>0</v>
      </c>
      <c r="D62" s="15">
        <v>1</v>
      </c>
      <c r="E62" s="15" t="str">
        <f t="shared" si="0"/>
        <v>Non-Veg</v>
      </c>
    </row>
    <row r="63" spans="1:5" ht="15">
      <c r="A63" s="14">
        <v>168513609258675</v>
      </c>
      <c r="B63" s="15" t="s">
        <v>569</v>
      </c>
      <c r="C63" s="15">
        <v>0</v>
      </c>
      <c r="D63" s="15">
        <v>1</v>
      </c>
      <c r="E63" s="15" t="str">
        <f t="shared" si="0"/>
        <v>Non-Veg</v>
      </c>
    </row>
    <row r="64" spans="1:5" ht="15">
      <c r="A64" s="14">
        <v>168438354785516</v>
      </c>
      <c r="B64" s="15" t="s">
        <v>542</v>
      </c>
      <c r="C64" s="15">
        <v>1</v>
      </c>
      <c r="D64" s="15">
        <v>1</v>
      </c>
      <c r="E64" s="15" t="str">
        <f t="shared" si="0"/>
        <v>Veg</v>
      </c>
    </row>
    <row r="65" spans="1:5" ht="15">
      <c r="A65" s="14">
        <v>168293863851738</v>
      </c>
      <c r="B65" s="15" t="s">
        <v>570</v>
      </c>
      <c r="C65" s="15">
        <v>1</v>
      </c>
      <c r="D65" s="15">
        <v>1</v>
      </c>
      <c r="E65" s="15" t="str">
        <f t="shared" si="0"/>
        <v>Veg</v>
      </c>
    </row>
    <row r="66" spans="1:5" ht="15">
      <c r="A66" s="14">
        <v>168293863851738</v>
      </c>
      <c r="B66" s="15" t="s">
        <v>571</v>
      </c>
      <c r="C66" s="15">
        <v>1</v>
      </c>
      <c r="D66" s="15">
        <v>1</v>
      </c>
      <c r="E66" s="15" t="str">
        <f t="shared" si="0"/>
        <v>Veg</v>
      </c>
    </row>
    <row r="67" spans="1:5" ht="15">
      <c r="A67" s="14">
        <v>168028113662672</v>
      </c>
      <c r="B67" s="15" t="s">
        <v>572</v>
      </c>
      <c r="C67" s="15">
        <v>0</v>
      </c>
      <c r="D67" s="15">
        <v>1</v>
      </c>
      <c r="E67" s="15" t="str">
        <f t="shared" ref="E67:E130" si="1">IF(C67 = 0, "Non-Veg", "Veg")</f>
        <v>Non-Veg</v>
      </c>
    </row>
    <row r="68" spans="1:5" ht="15">
      <c r="A68" s="14">
        <v>168013539245633</v>
      </c>
      <c r="B68" s="15" t="s">
        <v>567</v>
      </c>
      <c r="C68" s="15">
        <v>0</v>
      </c>
      <c r="D68" s="15">
        <v>1</v>
      </c>
      <c r="E68" s="15" t="str">
        <f t="shared" si="1"/>
        <v>Non-Veg</v>
      </c>
    </row>
    <row r="69" spans="1:5" ht="15">
      <c r="A69" s="14">
        <v>167927988529759</v>
      </c>
      <c r="B69" s="15" t="s">
        <v>572</v>
      </c>
      <c r="C69" s="15">
        <v>0</v>
      </c>
      <c r="D69" s="15">
        <v>1</v>
      </c>
      <c r="E69" s="15" t="str">
        <f t="shared" si="1"/>
        <v>Non-Veg</v>
      </c>
    </row>
    <row r="70" spans="1:5" ht="15">
      <c r="A70" s="14">
        <v>167230102604894</v>
      </c>
      <c r="B70" s="15" t="s">
        <v>573</v>
      </c>
      <c r="C70" s="15">
        <v>0</v>
      </c>
      <c r="D70" s="15">
        <v>1</v>
      </c>
      <c r="E70" s="15" t="str">
        <f t="shared" si="1"/>
        <v>Non-Veg</v>
      </c>
    </row>
    <row r="71" spans="1:5" ht="15">
      <c r="A71" s="14">
        <v>167230102604894</v>
      </c>
      <c r="B71" s="15" t="s">
        <v>574</v>
      </c>
      <c r="C71" s="15">
        <v>0</v>
      </c>
      <c r="D71" s="15">
        <v>1</v>
      </c>
      <c r="E71" s="15" t="str">
        <f t="shared" si="1"/>
        <v>Non-Veg</v>
      </c>
    </row>
    <row r="72" spans="1:5" ht="15">
      <c r="A72" s="14">
        <v>167065261006312</v>
      </c>
      <c r="B72" s="15" t="s">
        <v>575</v>
      </c>
      <c r="C72" s="15">
        <v>0</v>
      </c>
      <c r="D72" s="15">
        <v>1</v>
      </c>
      <c r="E72" s="15" t="str">
        <f t="shared" si="1"/>
        <v>Non-Veg</v>
      </c>
    </row>
    <row r="73" spans="1:5" ht="15">
      <c r="A73" s="14">
        <v>167041647226680</v>
      </c>
      <c r="B73" s="15" t="s">
        <v>567</v>
      </c>
      <c r="C73" s="15">
        <v>0</v>
      </c>
      <c r="D73" s="15">
        <v>1</v>
      </c>
      <c r="E73" s="15" t="str">
        <f t="shared" si="1"/>
        <v>Non-Veg</v>
      </c>
    </row>
    <row r="74" spans="1:5" ht="15">
      <c r="A74" s="14">
        <v>166952305677312</v>
      </c>
      <c r="B74" s="15" t="s">
        <v>576</v>
      </c>
      <c r="C74" s="15">
        <v>1</v>
      </c>
      <c r="D74" s="15">
        <v>1</v>
      </c>
      <c r="E74" s="15" t="str">
        <f t="shared" si="1"/>
        <v>Veg</v>
      </c>
    </row>
    <row r="75" spans="1:5" ht="15">
      <c r="A75" s="14">
        <v>166803724653459</v>
      </c>
      <c r="B75" s="15" t="s">
        <v>577</v>
      </c>
      <c r="C75" s="15">
        <v>0</v>
      </c>
      <c r="D75" s="15">
        <v>1</v>
      </c>
      <c r="E75" s="15" t="str">
        <f t="shared" si="1"/>
        <v>Non-Veg</v>
      </c>
    </row>
    <row r="76" spans="1:5" ht="15">
      <c r="A76" s="14">
        <v>165960896748502</v>
      </c>
      <c r="B76" s="15" t="s">
        <v>578</v>
      </c>
      <c r="C76" s="15">
        <v>1</v>
      </c>
      <c r="D76" s="15">
        <v>1</v>
      </c>
      <c r="E76" s="15" t="str">
        <f t="shared" si="1"/>
        <v>Veg</v>
      </c>
    </row>
    <row r="77" spans="1:5" ht="15">
      <c r="A77" s="14">
        <v>165960896748502</v>
      </c>
      <c r="B77" s="15" t="s">
        <v>579</v>
      </c>
      <c r="C77" s="15">
        <v>1</v>
      </c>
      <c r="D77" s="15">
        <v>1</v>
      </c>
      <c r="E77" s="15" t="str">
        <f t="shared" si="1"/>
        <v>Veg</v>
      </c>
    </row>
    <row r="78" spans="1:5" ht="15">
      <c r="A78" s="14">
        <v>165923274381702</v>
      </c>
      <c r="B78" s="15" t="s">
        <v>580</v>
      </c>
      <c r="C78" s="15">
        <v>0</v>
      </c>
      <c r="D78" s="15">
        <v>1</v>
      </c>
      <c r="E78" s="15" t="str">
        <f t="shared" si="1"/>
        <v>Non-Veg</v>
      </c>
    </row>
    <row r="79" spans="1:5" ht="15">
      <c r="A79" s="14">
        <v>165854296189400</v>
      </c>
      <c r="B79" s="15" t="s">
        <v>572</v>
      </c>
      <c r="C79" s="15">
        <v>0</v>
      </c>
      <c r="D79" s="15">
        <v>1</v>
      </c>
      <c r="E79" s="15" t="str">
        <f t="shared" si="1"/>
        <v>Non-Veg</v>
      </c>
    </row>
    <row r="80" spans="1:5" ht="15">
      <c r="A80" s="14">
        <v>165409130967084</v>
      </c>
      <c r="B80" s="15" t="s">
        <v>572</v>
      </c>
      <c r="C80" s="15">
        <v>0</v>
      </c>
      <c r="D80" s="15">
        <v>1</v>
      </c>
      <c r="E80" s="15" t="str">
        <f t="shared" si="1"/>
        <v>Non-Veg</v>
      </c>
    </row>
    <row r="81" spans="1:5" ht="15">
      <c r="A81" s="14">
        <v>165341581288776</v>
      </c>
      <c r="B81" s="15" t="s">
        <v>581</v>
      </c>
      <c r="C81" s="15">
        <v>1</v>
      </c>
      <c r="D81" s="15">
        <v>1</v>
      </c>
      <c r="E81" s="15" t="str">
        <f t="shared" si="1"/>
        <v>Veg</v>
      </c>
    </row>
    <row r="82" spans="1:5" ht="15">
      <c r="A82" s="14">
        <v>164743294943602</v>
      </c>
      <c r="B82" s="15" t="s">
        <v>582</v>
      </c>
      <c r="C82" s="15">
        <v>1</v>
      </c>
      <c r="D82" s="15">
        <v>1</v>
      </c>
      <c r="E82" s="15" t="str">
        <f t="shared" si="1"/>
        <v>Veg</v>
      </c>
    </row>
    <row r="83" spans="1:5" ht="15">
      <c r="A83" s="14">
        <v>164743294943602</v>
      </c>
      <c r="B83" s="15" t="s">
        <v>582</v>
      </c>
      <c r="C83" s="15">
        <v>1</v>
      </c>
      <c r="D83" s="15">
        <v>1</v>
      </c>
      <c r="E83" s="15" t="str">
        <f t="shared" si="1"/>
        <v>Veg</v>
      </c>
    </row>
    <row r="84" spans="1:5" ht="15">
      <c r="A84" s="14">
        <v>164714296625099</v>
      </c>
      <c r="B84" s="15" t="s">
        <v>572</v>
      </c>
      <c r="C84" s="15">
        <v>0</v>
      </c>
      <c r="D84" s="15">
        <v>1</v>
      </c>
      <c r="E84" s="15" t="str">
        <f t="shared" si="1"/>
        <v>Non-Veg</v>
      </c>
    </row>
    <row r="85" spans="1:5" ht="15">
      <c r="A85" s="14">
        <v>164376172877898</v>
      </c>
      <c r="B85" s="15" t="s">
        <v>583</v>
      </c>
      <c r="C85" s="15">
        <v>0</v>
      </c>
      <c r="D85" s="15">
        <v>1</v>
      </c>
      <c r="E85" s="15" t="str">
        <f t="shared" si="1"/>
        <v>Non-Veg</v>
      </c>
    </row>
    <row r="86" spans="1:5" ht="15">
      <c r="A86" s="14">
        <v>164376172877898</v>
      </c>
      <c r="B86" s="15" t="s">
        <v>576</v>
      </c>
      <c r="C86" s="15">
        <v>1</v>
      </c>
      <c r="D86" s="15">
        <v>1</v>
      </c>
      <c r="E86" s="15" t="str">
        <f t="shared" si="1"/>
        <v>Veg</v>
      </c>
    </row>
    <row r="87" spans="1:5" ht="15">
      <c r="A87" s="14">
        <v>164376172877898</v>
      </c>
      <c r="B87" s="15" t="s">
        <v>584</v>
      </c>
      <c r="C87" s="15">
        <v>0</v>
      </c>
      <c r="D87" s="15">
        <v>1</v>
      </c>
      <c r="E87" s="15" t="str">
        <f t="shared" si="1"/>
        <v>Non-Veg</v>
      </c>
    </row>
    <row r="88" spans="1:5" ht="15">
      <c r="A88" s="14">
        <v>164376027513893</v>
      </c>
      <c r="B88" s="15" t="s">
        <v>584</v>
      </c>
      <c r="C88" s="15">
        <v>0</v>
      </c>
      <c r="D88" s="15">
        <v>1</v>
      </c>
      <c r="E88" s="15" t="str">
        <f t="shared" si="1"/>
        <v>Non-Veg</v>
      </c>
    </row>
    <row r="89" spans="1:5" ht="15">
      <c r="A89" s="14">
        <v>164376027513893</v>
      </c>
      <c r="B89" s="15" t="s">
        <v>576</v>
      </c>
      <c r="C89" s="15">
        <v>1</v>
      </c>
      <c r="D89" s="15">
        <v>1</v>
      </c>
      <c r="E89" s="15" t="str">
        <f t="shared" si="1"/>
        <v>Veg</v>
      </c>
    </row>
    <row r="90" spans="1:5" ht="15">
      <c r="A90" s="14">
        <v>164191765873335</v>
      </c>
      <c r="B90" s="15" t="s">
        <v>585</v>
      </c>
      <c r="C90" s="15">
        <v>0</v>
      </c>
      <c r="D90" s="15">
        <v>1</v>
      </c>
      <c r="E90" s="15" t="str">
        <f t="shared" si="1"/>
        <v>Non-Veg</v>
      </c>
    </row>
    <row r="91" spans="1:5" ht="15">
      <c r="A91" s="14">
        <v>164191765873335</v>
      </c>
      <c r="B91" s="15" t="s">
        <v>586</v>
      </c>
      <c r="C91" s="15">
        <v>1</v>
      </c>
      <c r="D91" s="15">
        <v>1</v>
      </c>
      <c r="E91" s="15" t="str">
        <f t="shared" si="1"/>
        <v>Veg</v>
      </c>
    </row>
    <row r="92" spans="1:5" ht="15">
      <c r="A92" s="14">
        <v>163711888473406</v>
      </c>
      <c r="B92" s="15" t="s">
        <v>587</v>
      </c>
      <c r="C92" s="15">
        <v>1</v>
      </c>
      <c r="D92" s="15">
        <v>1</v>
      </c>
      <c r="E92" s="15" t="str">
        <f t="shared" si="1"/>
        <v>Veg</v>
      </c>
    </row>
    <row r="93" spans="1:5" ht="15">
      <c r="A93" s="14">
        <v>163004675209983</v>
      </c>
      <c r="B93" s="15" t="s">
        <v>573</v>
      </c>
      <c r="C93" s="15">
        <v>0</v>
      </c>
      <c r="D93" s="15">
        <v>1</v>
      </c>
      <c r="E93" s="15" t="str">
        <f t="shared" si="1"/>
        <v>Non-Veg</v>
      </c>
    </row>
    <row r="94" spans="1:5" ht="15">
      <c r="A94" s="14">
        <v>163004675209983</v>
      </c>
      <c r="B94" s="15" t="s">
        <v>574</v>
      </c>
      <c r="C94" s="15">
        <v>0</v>
      </c>
      <c r="D94" s="15">
        <v>1</v>
      </c>
      <c r="E94" s="15" t="str">
        <f t="shared" si="1"/>
        <v>Non-Veg</v>
      </c>
    </row>
    <row r="95" spans="1:5" ht="15">
      <c r="A95" s="14">
        <v>163004361179135</v>
      </c>
      <c r="B95" s="15" t="s">
        <v>542</v>
      </c>
      <c r="C95" s="15">
        <v>1</v>
      </c>
      <c r="D95" s="15">
        <v>1</v>
      </c>
      <c r="E95" s="15" t="str">
        <f t="shared" si="1"/>
        <v>Veg</v>
      </c>
    </row>
    <row r="96" spans="1:5" ht="15">
      <c r="A96" s="14">
        <v>162553743923962</v>
      </c>
      <c r="B96" s="15" t="s">
        <v>588</v>
      </c>
      <c r="C96" s="15">
        <v>0</v>
      </c>
      <c r="D96" s="15">
        <v>1</v>
      </c>
      <c r="E96" s="15" t="str">
        <f t="shared" si="1"/>
        <v>Non-Veg</v>
      </c>
    </row>
    <row r="97" spans="1:5" ht="15">
      <c r="A97" s="14">
        <v>162553743923962</v>
      </c>
      <c r="B97" s="15" t="s">
        <v>589</v>
      </c>
      <c r="C97" s="15">
        <v>0</v>
      </c>
      <c r="D97" s="15">
        <v>1</v>
      </c>
      <c r="E97" s="15" t="str">
        <f t="shared" si="1"/>
        <v>Non-Veg</v>
      </c>
    </row>
    <row r="98" spans="1:5" ht="15">
      <c r="A98" s="14">
        <v>162461263812077</v>
      </c>
      <c r="B98" s="15" t="s">
        <v>589</v>
      </c>
      <c r="C98" s="15">
        <v>0</v>
      </c>
      <c r="D98" s="15">
        <v>1</v>
      </c>
      <c r="E98" s="15" t="str">
        <f t="shared" si="1"/>
        <v>Non-Veg</v>
      </c>
    </row>
    <row r="99" spans="1:5" ht="15">
      <c r="A99" s="14">
        <v>161080636531967</v>
      </c>
      <c r="B99" s="15" t="s">
        <v>590</v>
      </c>
      <c r="C99" s="15">
        <v>0</v>
      </c>
      <c r="D99" s="15">
        <v>1</v>
      </c>
      <c r="E99" s="15" t="str">
        <f t="shared" si="1"/>
        <v>Non-Veg</v>
      </c>
    </row>
    <row r="100" spans="1:5" ht="15">
      <c r="A100" s="14">
        <v>160474594456670</v>
      </c>
      <c r="B100" s="15" t="s">
        <v>591</v>
      </c>
      <c r="C100" s="15">
        <v>0</v>
      </c>
      <c r="D100" s="15">
        <v>1</v>
      </c>
      <c r="E100" s="15" t="str">
        <f t="shared" si="1"/>
        <v>Non-Veg</v>
      </c>
    </row>
    <row r="101" spans="1:5" ht="15">
      <c r="A101" s="14">
        <v>159955886050893</v>
      </c>
      <c r="B101" s="15" t="s">
        <v>592</v>
      </c>
      <c r="C101" s="15">
        <v>0</v>
      </c>
      <c r="D101" s="15">
        <v>1</v>
      </c>
      <c r="E101" s="15" t="str">
        <f t="shared" si="1"/>
        <v>Non-Veg</v>
      </c>
    </row>
    <row r="102" spans="1:5" ht="15">
      <c r="A102" s="14">
        <v>159955886050893</v>
      </c>
      <c r="B102" s="15" t="s">
        <v>593</v>
      </c>
      <c r="C102" s="15">
        <v>1</v>
      </c>
      <c r="D102" s="15">
        <v>3</v>
      </c>
      <c r="E102" s="15" t="str">
        <f t="shared" si="1"/>
        <v>Veg</v>
      </c>
    </row>
    <row r="103" spans="1:5" ht="15">
      <c r="A103" s="14">
        <v>159700431113615</v>
      </c>
      <c r="B103" s="15" t="s">
        <v>594</v>
      </c>
      <c r="C103" s="15">
        <v>1</v>
      </c>
      <c r="D103" s="15">
        <v>1</v>
      </c>
      <c r="E103" s="15" t="str">
        <f t="shared" si="1"/>
        <v>Veg</v>
      </c>
    </row>
    <row r="104" spans="1:5" ht="15">
      <c r="A104" s="14">
        <v>159700431113615</v>
      </c>
      <c r="B104" s="15" t="s">
        <v>595</v>
      </c>
      <c r="C104" s="15">
        <v>1</v>
      </c>
      <c r="D104" s="15">
        <v>1</v>
      </c>
      <c r="E104" s="15" t="str">
        <f t="shared" si="1"/>
        <v>Veg</v>
      </c>
    </row>
    <row r="105" spans="1:5" ht="15">
      <c r="A105" s="14">
        <v>159024606634682</v>
      </c>
      <c r="B105" s="15" t="s">
        <v>593</v>
      </c>
      <c r="C105" s="15">
        <v>1</v>
      </c>
      <c r="D105" s="15">
        <v>2</v>
      </c>
      <c r="E105" s="15" t="str">
        <f t="shared" si="1"/>
        <v>Veg</v>
      </c>
    </row>
    <row r="106" spans="1:5" ht="15">
      <c r="A106" s="14">
        <v>159024606634682</v>
      </c>
      <c r="B106" s="15" t="s">
        <v>596</v>
      </c>
      <c r="C106" s="15">
        <v>1</v>
      </c>
      <c r="D106" s="15">
        <v>2</v>
      </c>
      <c r="E106" s="15" t="str">
        <f t="shared" si="1"/>
        <v>Veg</v>
      </c>
    </row>
    <row r="107" spans="1:5" ht="15">
      <c r="A107" s="14">
        <v>159024606634682</v>
      </c>
      <c r="B107" s="15" t="s">
        <v>597</v>
      </c>
      <c r="C107" s="15">
        <v>1</v>
      </c>
      <c r="D107" s="15">
        <v>1</v>
      </c>
      <c r="E107" s="15" t="str">
        <f t="shared" si="1"/>
        <v>Veg</v>
      </c>
    </row>
    <row r="108" spans="1:5" ht="15">
      <c r="A108" s="14">
        <v>159024606634682</v>
      </c>
      <c r="B108" s="15" t="s">
        <v>597</v>
      </c>
      <c r="C108" s="15">
        <v>1</v>
      </c>
      <c r="D108" s="15">
        <v>1</v>
      </c>
      <c r="E108" s="15" t="str">
        <f t="shared" si="1"/>
        <v>Veg</v>
      </c>
    </row>
    <row r="109" spans="1:5" ht="15">
      <c r="A109" s="14">
        <v>159024606634682</v>
      </c>
      <c r="B109" s="15" t="s">
        <v>598</v>
      </c>
      <c r="C109" s="15">
        <v>0</v>
      </c>
      <c r="D109" s="15">
        <v>1</v>
      </c>
      <c r="E109" s="15" t="str">
        <f t="shared" si="1"/>
        <v>Non-Veg</v>
      </c>
    </row>
    <row r="110" spans="1:5" ht="15">
      <c r="A110" s="14">
        <v>158421216354293</v>
      </c>
      <c r="B110" s="15" t="s">
        <v>599</v>
      </c>
      <c r="C110" s="15">
        <v>0</v>
      </c>
      <c r="D110" s="15">
        <v>1</v>
      </c>
      <c r="E110" s="15" t="str">
        <f t="shared" si="1"/>
        <v>Non-Veg</v>
      </c>
    </row>
    <row r="111" spans="1:5" ht="15">
      <c r="A111" s="14">
        <v>158421216354293</v>
      </c>
      <c r="B111" s="15" t="s">
        <v>600</v>
      </c>
      <c r="C111" s="15">
        <v>0</v>
      </c>
      <c r="D111" s="15">
        <v>1</v>
      </c>
      <c r="E111" s="15" t="str">
        <f t="shared" si="1"/>
        <v>Non-Veg</v>
      </c>
    </row>
    <row r="112" spans="1:5" ht="15">
      <c r="A112" s="14">
        <v>158334414702466</v>
      </c>
      <c r="B112" s="15" t="s">
        <v>562</v>
      </c>
      <c r="C112" s="15">
        <v>0</v>
      </c>
      <c r="D112" s="15">
        <v>1</v>
      </c>
      <c r="E112" s="15" t="str">
        <f t="shared" si="1"/>
        <v>Non-Veg</v>
      </c>
    </row>
    <row r="113" spans="1:5" ht="15">
      <c r="A113" s="14">
        <v>158133339719955</v>
      </c>
      <c r="B113" s="15" t="s">
        <v>565</v>
      </c>
      <c r="C113" s="15">
        <v>0</v>
      </c>
      <c r="D113" s="15">
        <v>1</v>
      </c>
      <c r="E113" s="15" t="str">
        <f t="shared" si="1"/>
        <v>Non-Veg</v>
      </c>
    </row>
    <row r="114" spans="1:5" ht="15">
      <c r="A114" s="14">
        <v>158078123542130</v>
      </c>
      <c r="B114" s="15" t="s">
        <v>601</v>
      </c>
      <c r="C114" s="15">
        <v>0</v>
      </c>
      <c r="D114" s="15">
        <v>1</v>
      </c>
      <c r="E114" s="15" t="str">
        <f t="shared" si="1"/>
        <v>Non-Veg</v>
      </c>
    </row>
    <row r="115" spans="1:5" ht="15">
      <c r="A115" s="14">
        <v>158041541026826</v>
      </c>
      <c r="B115" s="15" t="s">
        <v>602</v>
      </c>
      <c r="C115" s="15">
        <v>0</v>
      </c>
      <c r="D115" s="15">
        <v>1</v>
      </c>
      <c r="E115" s="15" t="str">
        <f t="shared" si="1"/>
        <v>Non-Veg</v>
      </c>
    </row>
    <row r="116" spans="1:5" ht="15">
      <c r="A116" s="14">
        <v>157279336071863</v>
      </c>
      <c r="B116" s="15" t="s">
        <v>603</v>
      </c>
      <c r="C116" s="15">
        <v>0</v>
      </c>
      <c r="D116" s="15">
        <v>1</v>
      </c>
      <c r="E116" s="15" t="str">
        <f t="shared" si="1"/>
        <v>Non-Veg</v>
      </c>
    </row>
    <row r="117" spans="1:5" ht="15">
      <c r="A117" s="14">
        <v>157212479386394</v>
      </c>
      <c r="B117" s="15" t="s">
        <v>604</v>
      </c>
      <c r="C117" s="15">
        <v>0</v>
      </c>
      <c r="D117" s="15">
        <v>1</v>
      </c>
      <c r="E117" s="15" t="str">
        <f t="shared" si="1"/>
        <v>Non-Veg</v>
      </c>
    </row>
    <row r="118" spans="1:5" ht="15">
      <c r="A118" s="14">
        <v>157095860714592</v>
      </c>
      <c r="B118" s="15" t="s">
        <v>605</v>
      </c>
      <c r="C118" s="15">
        <v>1</v>
      </c>
      <c r="D118" s="15">
        <v>1</v>
      </c>
      <c r="E118" s="15" t="str">
        <f t="shared" si="1"/>
        <v>Veg</v>
      </c>
    </row>
    <row r="119" spans="1:5" ht="15">
      <c r="A119" s="14">
        <v>157095860714592</v>
      </c>
      <c r="B119" s="15" t="s">
        <v>585</v>
      </c>
      <c r="C119" s="15">
        <v>0</v>
      </c>
      <c r="D119" s="15">
        <v>1</v>
      </c>
      <c r="E119" s="15" t="str">
        <f t="shared" si="1"/>
        <v>Non-Veg</v>
      </c>
    </row>
    <row r="120" spans="1:5" ht="15">
      <c r="A120" s="14">
        <v>156956128612767</v>
      </c>
      <c r="B120" s="15" t="s">
        <v>606</v>
      </c>
      <c r="C120" s="15">
        <v>1</v>
      </c>
      <c r="D120" s="15">
        <v>1</v>
      </c>
      <c r="E120" s="15" t="str">
        <f t="shared" si="1"/>
        <v>Veg</v>
      </c>
    </row>
    <row r="121" spans="1:5" ht="15">
      <c r="A121" s="14">
        <v>156956128612767</v>
      </c>
      <c r="B121" s="15" t="s">
        <v>603</v>
      </c>
      <c r="C121" s="15">
        <v>0</v>
      </c>
      <c r="D121" s="15">
        <v>1</v>
      </c>
      <c r="E121" s="15" t="str">
        <f t="shared" si="1"/>
        <v>Non-Veg</v>
      </c>
    </row>
    <row r="122" spans="1:5" ht="15">
      <c r="A122" s="14">
        <v>156923241346336</v>
      </c>
      <c r="B122" s="15" t="s">
        <v>592</v>
      </c>
      <c r="C122" s="15">
        <v>0</v>
      </c>
      <c r="D122" s="15">
        <v>1</v>
      </c>
      <c r="E122" s="15" t="str">
        <f t="shared" si="1"/>
        <v>Non-Veg</v>
      </c>
    </row>
    <row r="123" spans="1:5" ht="15">
      <c r="A123" s="14">
        <v>156923241346336</v>
      </c>
      <c r="B123" s="15" t="s">
        <v>607</v>
      </c>
      <c r="C123" s="15">
        <v>1</v>
      </c>
      <c r="D123" s="15">
        <v>1</v>
      </c>
      <c r="E123" s="15" t="str">
        <f t="shared" si="1"/>
        <v>Veg</v>
      </c>
    </row>
    <row r="124" spans="1:5" ht="15">
      <c r="A124" s="14">
        <v>156923241346336</v>
      </c>
      <c r="B124" s="15" t="s">
        <v>596</v>
      </c>
      <c r="C124" s="15">
        <v>1</v>
      </c>
      <c r="D124" s="15">
        <v>2</v>
      </c>
      <c r="E124" s="15" t="str">
        <f t="shared" si="1"/>
        <v>Veg</v>
      </c>
    </row>
    <row r="125" spans="1:5" ht="15">
      <c r="A125" s="14">
        <v>156923241346336</v>
      </c>
      <c r="B125" s="15" t="s">
        <v>593</v>
      </c>
      <c r="C125" s="15">
        <v>1</v>
      </c>
      <c r="D125" s="15">
        <v>1</v>
      </c>
      <c r="E125" s="15" t="str">
        <f t="shared" si="1"/>
        <v>Veg</v>
      </c>
    </row>
    <row r="126" spans="1:5" ht="15">
      <c r="A126" s="14">
        <v>156864275866899</v>
      </c>
      <c r="B126" s="15" t="s">
        <v>593</v>
      </c>
      <c r="C126" s="15">
        <v>1</v>
      </c>
      <c r="D126" s="15">
        <v>3</v>
      </c>
      <c r="E126" s="15" t="str">
        <f t="shared" si="1"/>
        <v>Veg</v>
      </c>
    </row>
    <row r="127" spans="1:5" ht="15">
      <c r="A127" s="14">
        <v>156864275866899</v>
      </c>
      <c r="B127" s="15" t="s">
        <v>608</v>
      </c>
      <c r="C127" s="15">
        <v>0</v>
      </c>
      <c r="D127" s="15">
        <v>1</v>
      </c>
      <c r="E127" s="15" t="str">
        <f t="shared" si="1"/>
        <v>Non-Veg</v>
      </c>
    </row>
    <row r="128" spans="1:5" ht="15">
      <c r="A128" s="14">
        <v>156652104418064</v>
      </c>
      <c r="B128" s="15" t="s">
        <v>609</v>
      </c>
      <c r="C128" s="15">
        <v>1</v>
      </c>
      <c r="D128" s="15">
        <v>1</v>
      </c>
      <c r="E128" s="15" t="str">
        <f t="shared" si="1"/>
        <v>Veg</v>
      </c>
    </row>
    <row r="129" spans="1:5" ht="15">
      <c r="A129" s="14">
        <v>156652104418064</v>
      </c>
      <c r="B129" s="15" t="s">
        <v>610</v>
      </c>
      <c r="C129" s="15">
        <v>1</v>
      </c>
      <c r="D129" s="15">
        <v>1</v>
      </c>
      <c r="E129" s="15" t="str">
        <f t="shared" si="1"/>
        <v>Veg</v>
      </c>
    </row>
    <row r="130" spans="1:5" ht="15">
      <c r="A130" s="14">
        <v>156652104418064</v>
      </c>
      <c r="B130" s="15" t="s">
        <v>611</v>
      </c>
      <c r="C130" s="15">
        <v>1</v>
      </c>
      <c r="D130" s="15">
        <v>1</v>
      </c>
      <c r="E130" s="15" t="str">
        <f t="shared" si="1"/>
        <v>Veg</v>
      </c>
    </row>
    <row r="131" spans="1:5" ht="15">
      <c r="A131" s="14">
        <v>155826395288522</v>
      </c>
      <c r="B131" s="15" t="s">
        <v>612</v>
      </c>
      <c r="C131" s="15">
        <v>0</v>
      </c>
      <c r="D131" s="15">
        <v>1</v>
      </c>
      <c r="E131" s="15" t="str">
        <f t="shared" ref="E131:E171" si="2">IF(C131 = 0, "Non-Veg", "Veg")</f>
        <v>Non-Veg</v>
      </c>
    </row>
    <row r="132" spans="1:5" ht="15">
      <c r="A132" s="14">
        <v>154933952448406</v>
      </c>
      <c r="B132" s="15" t="s">
        <v>605</v>
      </c>
      <c r="C132" s="15">
        <v>1</v>
      </c>
      <c r="D132" s="15">
        <v>1</v>
      </c>
      <c r="E132" s="15" t="str">
        <f t="shared" si="2"/>
        <v>Veg</v>
      </c>
    </row>
    <row r="133" spans="1:5" ht="15">
      <c r="A133" s="14">
        <v>154933952448406</v>
      </c>
      <c r="B133" s="15" t="s">
        <v>613</v>
      </c>
      <c r="C133" s="15">
        <v>0</v>
      </c>
      <c r="D133" s="15">
        <v>1</v>
      </c>
      <c r="E133" s="15" t="str">
        <f t="shared" si="2"/>
        <v>Non-Veg</v>
      </c>
    </row>
    <row r="134" spans="1:5" ht="15">
      <c r="A134" s="14">
        <v>154933952448406</v>
      </c>
      <c r="B134" s="15" t="s">
        <v>586</v>
      </c>
      <c r="C134" s="15">
        <v>1</v>
      </c>
      <c r="D134" s="15">
        <v>1</v>
      </c>
      <c r="E134" s="15" t="str">
        <f t="shared" si="2"/>
        <v>Veg</v>
      </c>
    </row>
    <row r="135" spans="1:5" ht="15">
      <c r="A135" s="14">
        <v>178713153585</v>
      </c>
      <c r="B135" s="15" t="s">
        <v>597</v>
      </c>
      <c r="C135" s="15">
        <v>1</v>
      </c>
      <c r="D135" s="15">
        <v>1</v>
      </c>
      <c r="E135" s="15" t="str">
        <f t="shared" si="2"/>
        <v>Veg</v>
      </c>
    </row>
    <row r="136" spans="1:5" ht="15">
      <c r="A136" s="14">
        <v>178713153585</v>
      </c>
      <c r="B136" s="15" t="s">
        <v>614</v>
      </c>
      <c r="C136" s="15">
        <v>0</v>
      </c>
      <c r="D136" s="15">
        <v>1</v>
      </c>
      <c r="E136" s="15" t="str">
        <f t="shared" si="2"/>
        <v>Non-Veg</v>
      </c>
    </row>
    <row r="137" spans="1:5" ht="15">
      <c r="A137" s="14">
        <v>178539970232</v>
      </c>
      <c r="B137" s="15" t="s">
        <v>615</v>
      </c>
      <c r="C137" s="15">
        <v>1</v>
      </c>
      <c r="D137" s="15">
        <v>1</v>
      </c>
      <c r="E137" s="15" t="str">
        <f t="shared" si="2"/>
        <v>Veg</v>
      </c>
    </row>
    <row r="138" spans="1:5" ht="15">
      <c r="A138" s="14">
        <v>178180906036</v>
      </c>
      <c r="B138" s="15" t="s">
        <v>612</v>
      </c>
      <c r="C138" s="15">
        <v>0</v>
      </c>
      <c r="D138" s="15">
        <v>1</v>
      </c>
      <c r="E138" s="15" t="str">
        <f t="shared" si="2"/>
        <v>Non-Veg</v>
      </c>
    </row>
    <row r="139" spans="1:5" ht="15">
      <c r="A139" s="14">
        <v>178180906036</v>
      </c>
      <c r="B139" s="15" t="s">
        <v>616</v>
      </c>
      <c r="C139" s="15">
        <v>0</v>
      </c>
      <c r="D139" s="15">
        <v>1</v>
      </c>
      <c r="E139" s="15" t="str">
        <f t="shared" si="2"/>
        <v>Non-Veg</v>
      </c>
    </row>
    <row r="140" spans="1:5" ht="15">
      <c r="A140" s="14">
        <v>178090781440</v>
      </c>
      <c r="B140" s="15" t="s">
        <v>602</v>
      </c>
      <c r="C140" s="15">
        <v>0</v>
      </c>
      <c r="D140" s="15">
        <v>1</v>
      </c>
      <c r="E140" s="15" t="str">
        <f t="shared" si="2"/>
        <v>Non-Veg</v>
      </c>
    </row>
    <row r="141" spans="1:5" ht="15">
      <c r="A141" s="14">
        <v>177591184372</v>
      </c>
      <c r="B141" s="15" t="s">
        <v>591</v>
      </c>
      <c r="C141" s="15">
        <v>0</v>
      </c>
      <c r="D141" s="15">
        <v>1</v>
      </c>
      <c r="E141" s="15" t="str">
        <f t="shared" si="2"/>
        <v>Non-Veg</v>
      </c>
    </row>
    <row r="142" spans="1:5" ht="15">
      <c r="A142" s="14">
        <v>177445532607</v>
      </c>
      <c r="B142" s="15" t="s">
        <v>617</v>
      </c>
      <c r="C142" s="15">
        <v>0</v>
      </c>
      <c r="D142" s="15">
        <v>1</v>
      </c>
      <c r="E142" s="15" t="str">
        <f t="shared" si="2"/>
        <v>Non-Veg</v>
      </c>
    </row>
    <row r="143" spans="1:5" ht="15">
      <c r="A143" s="14">
        <v>177445532607</v>
      </c>
      <c r="B143" s="15" t="s">
        <v>618</v>
      </c>
      <c r="C143" s="15">
        <v>1</v>
      </c>
      <c r="D143" s="15">
        <v>1</v>
      </c>
      <c r="E143" s="15" t="str">
        <f t="shared" si="2"/>
        <v>Veg</v>
      </c>
    </row>
    <row r="144" spans="1:5" ht="15">
      <c r="A144" s="14">
        <v>177445532607</v>
      </c>
      <c r="B144" s="15" t="s">
        <v>619</v>
      </c>
      <c r="C144" s="15">
        <v>0</v>
      </c>
      <c r="D144" s="15">
        <v>1</v>
      </c>
      <c r="E144" s="15" t="str">
        <f t="shared" si="2"/>
        <v>Non-Veg</v>
      </c>
    </row>
    <row r="145" spans="1:5" ht="15">
      <c r="A145" s="14">
        <v>177445532607</v>
      </c>
      <c r="B145" s="15" t="s">
        <v>620</v>
      </c>
      <c r="C145" s="15">
        <v>0</v>
      </c>
      <c r="D145" s="15">
        <v>1</v>
      </c>
      <c r="E145" s="15" t="str">
        <f t="shared" si="2"/>
        <v>Non-Veg</v>
      </c>
    </row>
    <row r="146" spans="1:5" ht="15">
      <c r="A146" s="14">
        <v>177265186487</v>
      </c>
      <c r="B146" s="15" t="s">
        <v>621</v>
      </c>
      <c r="C146" s="15">
        <v>0</v>
      </c>
      <c r="D146" s="15">
        <v>1</v>
      </c>
      <c r="E146" s="15" t="str">
        <f t="shared" si="2"/>
        <v>Non-Veg</v>
      </c>
    </row>
    <row r="147" spans="1:5" ht="15">
      <c r="A147" s="14">
        <v>177265186487</v>
      </c>
      <c r="B147" s="15" t="s">
        <v>622</v>
      </c>
      <c r="C147" s="15">
        <v>0</v>
      </c>
      <c r="D147" s="15">
        <v>1</v>
      </c>
      <c r="E147" s="15" t="str">
        <f t="shared" si="2"/>
        <v>Non-Veg</v>
      </c>
    </row>
    <row r="148" spans="1:5" ht="15">
      <c r="A148" s="14">
        <v>177265186487</v>
      </c>
      <c r="B148" s="15" t="s">
        <v>623</v>
      </c>
      <c r="C148" s="15">
        <v>0</v>
      </c>
      <c r="D148" s="15">
        <v>1</v>
      </c>
      <c r="E148" s="15" t="str">
        <f t="shared" si="2"/>
        <v>Non-Veg</v>
      </c>
    </row>
    <row r="149" spans="1:5" ht="15">
      <c r="A149" s="14">
        <v>177265186487</v>
      </c>
      <c r="B149" s="15" t="s">
        <v>617</v>
      </c>
      <c r="C149" s="15">
        <v>0</v>
      </c>
      <c r="D149" s="15">
        <v>1</v>
      </c>
      <c r="E149" s="15" t="str">
        <f t="shared" si="2"/>
        <v>Non-Veg</v>
      </c>
    </row>
    <row r="150" spans="1:5" ht="15">
      <c r="A150" s="14">
        <v>176793394432</v>
      </c>
      <c r="B150" s="15" t="s">
        <v>624</v>
      </c>
      <c r="C150" s="15">
        <v>1</v>
      </c>
      <c r="D150" s="15">
        <v>1</v>
      </c>
      <c r="E150" s="15" t="str">
        <f t="shared" si="2"/>
        <v>Veg</v>
      </c>
    </row>
    <row r="151" spans="1:5" ht="15">
      <c r="A151" s="14">
        <v>176793394432</v>
      </c>
      <c r="B151" s="15" t="s">
        <v>625</v>
      </c>
      <c r="C151" s="15">
        <v>1</v>
      </c>
      <c r="D151" s="15">
        <v>1</v>
      </c>
      <c r="E151" s="15" t="str">
        <f t="shared" si="2"/>
        <v>Veg</v>
      </c>
    </row>
    <row r="152" spans="1:5" ht="15">
      <c r="A152" s="14">
        <v>176745115332</v>
      </c>
      <c r="B152" s="15" t="s">
        <v>542</v>
      </c>
      <c r="C152" s="15">
        <v>1</v>
      </c>
      <c r="D152" s="15">
        <v>1</v>
      </c>
      <c r="E152" s="15" t="str">
        <f t="shared" si="2"/>
        <v>Veg</v>
      </c>
    </row>
    <row r="153" spans="1:5" ht="15">
      <c r="A153" s="14">
        <v>176716772573</v>
      </c>
      <c r="B153" s="15" t="s">
        <v>626</v>
      </c>
      <c r="C153" s="15">
        <v>0</v>
      </c>
      <c r="D153" s="15">
        <v>1</v>
      </c>
      <c r="E153" s="15" t="str">
        <f t="shared" si="2"/>
        <v>Non-Veg</v>
      </c>
    </row>
    <row r="154" spans="1:5" ht="15">
      <c r="A154" s="14">
        <v>176451044220</v>
      </c>
      <c r="B154" s="15" t="s">
        <v>627</v>
      </c>
      <c r="C154" s="15">
        <v>0</v>
      </c>
      <c r="D154" s="15">
        <v>1</v>
      </c>
      <c r="E154" s="15" t="str">
        <f t="shared" si="2"/>
        <v>Non-Veg</v>
      </c>
    </row>
    <row r="155" spans="1:5" ht="15">
      <c r="A155" s="14">
        <v>176221057630</v>
      </c>
      <c r="B155" s="15" t="s">
        <v>628</v>
      </c>
      <c r="C155" s="15">
        <v>0</v>
      </c>
      <c r="D155" s="15">
        <v>1</v>
      </c>
      <c r="E155" s="15" t="str">
        <f t="shared" si="2"/>
        <v>Non-Veg</v>
      </c>
    </row>
    <row r="156" spans="1:5" ht="15">
      <c r="A156" s="14">
        <v>175968970700</v>
      </c>
      <c r="B156" s="15" t="s">
        <v>629</v>
      </c>
      <c r="C156" s="15">
        <v>1</v>
      </c>
      <c r="D156" s="15">
        <v>2</v>
      </c>
      <c r="E156" s="15" t="str">
        <f t="shared" si="2"/>
        <v>Veg</v>
      </c>
    </row>
    <row r="157" spans="1:5" ht="15">
      <c r="A157" s="14">
        <v>175192473312</v>
      </c>
      <c r="B157" s="15" t="s">
        <v>630</v>
      </c>
      <c r="C157" s="15">
        <v>0</v>
      </c>
      <c r="D157" s="15">
        <v>1</v>
      </c>
      <c r="E157" s="15" t="str">
        <f t="shared" si="2"/>
        <v>Non-Veg</v>
      </c>
    </row>
    <row r="158" spans="1:5" ht="15">
      <c r="A158" s="14">
        <v>175192473312</v>
      </c>
      <c r="B158" s="15" t="s">
        <v>631</v>
      </c>
      <c r="C158" s="15">
        <v>0</v>
      </c>
      <c r="D158" s="15">
        <v>1</v>
      </c>
      <c r="E158" s="15" t="str">
        <f t="shared" si="2"/>
        <v>Non-Veg</v>
      </c>
    </row>
    <row r="159" spans="1:5" ht="15">
      <c r="A159" s="14">
        <v>174983850554</v>
      </c>
      <c r="B159" s="15" t="s">
        <v>632</v>
      </c>
      <c r="C159" s="15">
        <v>0</v>
      </c>
      <c r="D159" s="15">
        <v>1</v>
      </c>
      <c r="E159" s="15" t="str">
        <f t="shared" si="2"/>
        <v>Non-Veg</v>
      </c>
    </row>
    <row r="160" spans="1:5" ht="15">
      <c r="A160" s="14">
        <v>174983850554</v>
      </c>
      <c r="B160" s="15" t="s">
        <v>633</v>
      </c>
      <c r="C160" s="15">
        <v>0</v>
      </c>
      <c r="D160" s="15">
        <v>1</v>
      </c>
      <c r="E160" s="15" t="str">
        <f t="shared" si="2"/>
        <v>Non-Veg</v>
      </c>
    </row>
    <row r="161" spans="1:5" ht="15">
      <c r="A161" s="14">
        <v>174983850554</v>
      </c>
      <c r="B161" s="15" t="s">
        <v>634</v>
      </c>
      <c r="C161" s="15">
        <v>0</v>
      </c>
      <c r="D161" s="15">
        <v>1</v>
      </c>
      <c r="E161" s="15" t="str">
        <f t="shared" si="2"/>
        <v>Non-Veg</v>
      </c>
    </row>
    <row r="162" spans="1:5" ht="15">
      <c r="A162" s="14">
        <v>174647551706</v>
      </c>
      <c r="B162" s="15" t="s">
        <v>635</v>
      </c>
      <c r="C162" s="15">
        <v>1</v>
      </c>
      <c r="D162" s="15">
        <v>1</v>
      </c>
      <c r="E162" s="15" t="str">
        <f t="shared" si="2"/>
        <v>Veg</v>
      </c>
    </row>
    <row r="163" spans="1:5" ht="15">
      <c r="A163" s="14">
        <v>174647551706</v>
      </c>
      <c r="B163" s="15" t="s">
        <v>636</v>
      </c>
      <c r="C163" s="15">
        <v>1</v>
      </c>
      <c r="D163" s="15">
        <v>1</v>
      </c>
      <c r="E163" s="15" t="str">
        <f t="shared" si="2"/>
        <v>Veg</v>
      </c>
    </row>
    <row r="164" spans="1:5" ht="15">
      <c r="A164" s="14">
        <v>174644435956</v>
      </c>
      <c r="B164" s="15" t="s">
        <v>626</v>
      </c>
      <c r="C164" s="15">
        <v>0</v>
      </c>
      <c r="D164" s="15">
        <v>1</v>
      </c>
      <c r="E164" s="15" t="str">
        <f t="shared" si="2"/>
        <v>Non-Veg</v>
      </c>
    </row>
    <row r="165" spans="1:5" ht="15">
      <c r="A165" s="14">
        <v>174559415025</v>
      </c>
      <c r="B165" s="15" t="s">
        <v>637</v>
      </c>
      <c r="C165" s="15">
        <v>0</v>
      </c>
      <c r="D165" s="15">
        <v>1</v>
      </c>
      <c r="E165" s="15" t="str">
        <f t="shared" si="2"/>
        <v>Non-Veg</v>
      </c>
    </row>
    <row r="166" spans="1:5" ht="15">
      <c r="A166" s="14">
        <v>174376605060</v>
      </c>
      <c r="B166" s="15" t="s">
        <v>638</v>
      </c>
      <c r="C166" s="15">
        <v>0</v>
      </c>
      <c r="D166" s="15">
        <v>1</v>
      </c>
      <c r="E166" s="15" t="str">
        <f t="shared" si="2"/>
        <v>Non-Veg</v>
      </c>
    </row>
    <row r="167" spans="1:5" ht="15">
      <c r="A167" s="14">
        <v>174376605060</v>
      </c>
      <c r="B167" s="15" t="s">
        <v>639</v>
      </c>
      <c r="C167" s="15">
        <v>0</v>
      </c>
      <c r="D167" s="15">
        <v>1</v>
      </c>
      <c r="E167" s="15" t="str">
        <f t="shared" si="2"/>
        <v>Non-Veg</v>
      </c>
    </row>
    <row r="168" spans="1:5" ht="15">
      <c r="A168" s="14">
        <v>172557699296</v>
      </c>
      <c r="B168" s="15" t="s">
        <v>640</v>
      </c>
      <c r="C168" s="15">
        <v>1</v>
      </c>
      <c r="D168" s="15">
        <v>1</v>
      </c>
      <c r="E168" s="15" t="str">
        <f t="shared" si="2"/>
        <v>Veg</v>
      </c>
    </row>
    <row r="169" spans="1:5" ht="15">
      <c r="A169" s="14">
        <v>171953923401</v>
      </c>
      <c r="B169" s="15" t="s">
        <v>641</v>
      </c>
      <c r="C169" s="15">
        <v>0</v>
      </c>
      <c r="D169" s="15">
        <v>1</v>
      </c>
      <c r="E169" s="15" t="str">
        <f t="shared" si="2"/>
        <v>Non-Veg</v>
      </c>
    </row>
    <row r="170" spans="1:5" ht="15">
      <c r="A170" s="14">
        <v>171953923401</v>
      </c>
      <c r="B170" s="15" t="s">
        <v>642</v>
      </c>
      <c r="C170" s="15">
        <v>0</v>
      </c>
      <c r="D170" s="15">
        <v>1</v>
      </c>
      <c r="E170" s="15" t="str">
        <f t="shared" si="2"/>
        <v>Non-Veg</v>
      </c>
    </row>
    <row r="171" spans="1:5" ht="15">
      <c r="A171" s="14">
        <v>171863054117</v>
      </c>
      <c r="B171" s="15" t="s">
        <v>640</v>
      </c>
      <c r="C171" s="15">
        <v>1</v>
      </c>
      <c r="D171" s="15">
        <v>1</v>
      </c>
      <c r="E171" s="15" t="str">
        <f t="shared" si="2"/>
        <v>Veg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8D2D-5EF2-45F3-B959-A7A9D701753A}">
  <dimension ref="A1:P44"/>
  <sheetViews>
    <sheetView zoomScale="80" zoomScaleNormal="80" workbookViewId="0">
      <selection activeCell="M13" sqref="M13"/>
    </sheetView>
  </sheetViews>
  <sheetFormatPr defaultRowHeight="13.8"/>
  <cols>
    <col min="1" max="1" width="41.19921875" customWidth="1"/>
    <col min="2" max="2" width="14.09765625" customWidth="1"/>
  </cols>
  <sheetData>
    <row r="1" spans="1:16">
      <c r="A1" s="31" t="s">
        <v>716</v>
      </c>
      <c r="B1" s="31" t="s">
        <v>717</v>
      </c>
      <c r="C1" s="42" t="s">
        <v>670</v>
      </c>
    </row>
    <row r="2" spans="1:16" ht="15.6">
      <c r="A2" s="6" t="str" cm="1">
        <f t="array" ref="A2:A44">_xlfn.UNIQUE(Swiggy_Orders_Data!$K$2:$K$108)</f>
        <v>Paris Panini - Gourmet Sandwiches &amp; Wraps</v>
      </c>
      <c r="B2" s="6">
        <f>COUNTIF(Swiggy_Orders_Data!$K$2:$K$108, $A2)</f>
        <v>6</v>
      </c>
      <c r="C2">
        <f>_xlfn.RANK.EQ(B2, $B$2:$B$44, 0)</f>
        <v>4</v>
      </c>
      <c r="E2" s="40" t="s">
        <v>742</v>
      </c>
      <c r="P2" s="5" t="str" cm="1">
        <f t="array" ref="P2">_xlfn.XLOOKUP(1, $C$2:$C$44,_xlfn.ANCHORARRAY( $A$2))</f>
        <v>Subway</v>
      </c>
    </row>
    <row r="3" spans="1:16" ht="15.6">
      <c r="A3" s="6" t="str">
        <v>Nandhana Palace</v>
      </c>
      <c r="B3" s="6">
        <f>COUNTIF(Swiggy_Orders_Data!$K$2:$K$108, $A3)</f>
        <v>2</v>
      </c>
      <c r="C3">
        <f t="shared" ref="C3:C44" si="0">_xlfn.RANK.EQ(B3, $B$2:$B$44, 0)</f>
        <v>13</v>
      </c>
      <c r="E3" s="40" t="s">
        <v>741</v>
      </c>
    </row>
    <row r="4" spans="1:16">
      <c r="A4" s="6" t="str">
        <v>The Ganache Factory - Cakes &amp; Desserts</v>
      </c>
      <c r="B4" s="6">
        <f>COUNTIF(Swiggy_Orders_Data!$K$2:$K$108, $A4)</f>
        <v>6</v>
      </c>
      <c r="C4">
        <f t="shared" si="0"/>
        <v>4</v>
      </c>
    </row>
    <row r="5" spans="1:16">
      <c r="A5" s="6" t="str">
        <v>Rasayan</v>
      </c>
      <c r="B5" s="6">
        <f>COUNTIF(Swiggy_Orders_Data!$K$2:$K$108, $A5)</f>
        <v>8</v>
      </c>
      <c r="C5">
        <f t="shared" si="0"/>
        <v>2</v>
      </c>
    </row>
    <row r="6" spans="1:16">
      <c r="A6" s="6" t="str">
        <v>Firangi Bake</v>
      </c>
      <c r="B6" s="6">
        <f>COUNTIF(Swiggy_Orders_Data!$K$2:$K$108, $A6)</f>
        <v>4</v>
      </c>
      <c r="C6">
        <f t="shared" si="0"/>
        <v>8</v>
      </c>
    </row>
    <row r="7" spans="1:16">
      <c r="A7" s="6" t="str">
        <v>Daily Sushi</v>
      </c>
      <c r="B7" s="6">
        <f>COUNTIF(Swiggy_Orders_Data!$K$2:$K$108, $A7)</f>
        <v>6</v>
      </c>
      <c r="C7">
        <f t="shared" si="0"/>
        <v>4</v>
      </c>
    </row>
    <row r="8" spans="1:16">
      <c r="A8" s="6" t="str">
        <v>Naalnaad Mane</v>
      </c>
      <c r="B8" s="6">
        <f>COUNTIF(Swiggy_Orders_Data!$K$2:$K$108, $A8)</f>
        <v>3</v>
      </c>
      <c r="C8">
        <f t="shared" si="0"/>
        <v>11</v>
      </c>
    </row>
    <row r="9" spans="1:16">
      <c r="A9" s="6" t="str">
        <v>Theobroma</v>
      </c>
      <c r="B9" s="6">
        <f>COUNTIF(Swiggy_Orders_Data!$K$2:$K$108, $A9)</f>
        <v>2</v>
      </c>
      <c r="C9">
        <f t="shared" si="0"/>
        <v>13</v>
      </c>
    </row>
    <row r="10" spans="1:16">
      <c r="A10" s="6" t="str">
        <v>Love And Crumble</v>
      </c>
      <c r="B10" s="6">
        <f>COUNTIF(Swiggy_Orders_Data!$K$2:$K$108, $A10)</f>
        <v>1</v>
      </c>
      <c r="C10">
        <f t="shared" si="0"/>
        <v>21</v>
      </c>
    </row>
    <row r="11" spans="1:16">
      <c r="A11" s="6" t="str">
        <v>Homely</v>
      </c>
      <c r="B11" s="6">
        <f>COUNTIF(Swiggy_Orders_Data!$K$2:$K$108, $A11)</f>
        <v>1</v>
      </c>
      <c r="C11">
        <f t="shared" si="0"/>
        <v>21</v>
      </c>
    </row>
    <row r="12" spans="1:16">
      <c r="A12" s="6" t="str">
        <v>Chowman</v>
      </c>
      <c r="B12" s="6">
        <f>COUNTIF(Swiggy_Orders_Data!$K$2:$K$108, $A12)</f>
        <v>1</v>
      </c>
      <c r="C12">
        <f t="shared" si="0"/>
        <v>21</v>
      </c>
    </row>
    <row r="13" spans="1:16">
      <c r="A13" s="6" t="str">
        <v>Frozen Bottle - Milkshakes, Desserts And Ice Cream</v>
      </c>
      <c r="B13" s="6">
        <f>COUNTIF(Swiggy_Orders_Data!$K$2:$K$108, $A13)</f>
        <v>1</v>
      </c>
      <c r="C13">
        <f t="shared" si="0"/>
        <v>21</v>
      </c>
    </row>
    <row r="14" spans="1:16">
      <c r="A14" s="6" t="str">
        <v>Leon's - Burgers &amp; Wings (Leon Grill)</v>
      </c>
      <c r="B14" s="6">
        <f>COUNTIF(Swiggy_Orders_Data!$K$2:$K$108, $A14)</f>
        <v>8</v>
      </c>
      <c r="C14">
        <f t="shared" si="0"/>
        <v>2</v>
      </c>
    </row>
    <row r="15" spans="1:16">
      <c r="A15" s="6" t="str">
        <v>Subway</v>
      </c>
      <c r="B15" s="6">
        <f>COUNTIF(Swiggy_Orders_Data!$K$2:$K$108, $A15)</f>
        <v>11</v>
      </c>
      <c r="C15">
        <f t="shared" si="0"/>
        <v>1</v>
      </c>
    </row>
    <row r="16" spans="1:16">
      <c r="A16" s="6" t="str">
        <v>Bowl Soul</v>
      </c>
      <c r="B16" s="6">
        <f>COUNTIF(Swiggy_Orders_Data!$K$2:$K$108, $A16)</f>
        <v>1</v>
      </c>
      <c r="C16">
        <f t="shared" si="0"/>
        <v>21</v>
      </c>
    </row>
    <row r="17" spans="1:3">
      <c r="A17" s="6" t="str">
        <v>Sundae Everyday Ice Creams</v>
      </c>
      <c r="B17" s="6">
        <f>COUNTIF(Swiggy_Orders_Data!$K$2:$K$108, $A17)</f>
        <v>1</v>
      </c>
      <c r="C17">
        <f t="shared" si="0"/>
        <v>21</v>
      </c>
    </row>
    <row r="18" spans="1:3">
      <c r="A18" s="6" t="str">
        <v>Smoky Docky</v>
      </c>
      <c r="B18" s="6">
        <f>COUNTIF(Swiggy_Orders_Data!$K$2:$K$108, $A18)</f>
        <v>5</v>
      </c>
      <c r="C18">
        <f t="shared" si="0"/>
        <v>7</v>
      </c>
    </row>
    <row r="19" spans="1:3">
      <c r="A19" s="6" t="str">
        <v>NOTO - Ice Creams &amp; Desserts</v>
      </c>
      <c r="B19" s="6">
        <f>COUNTIF(Swiggy_Orders_Data!$K$2:$K$108, $A19)</f>
        <v>1</v>
      </c>
      <c r="C19">
        <f t="shared" si="0"/>
        <v>21</v>
      </c>
    </row>
    <row r="20" spans="1:3">
      <c r="A20" s="6" t="str">
        <v>Baba Ganoush</v>
      </c>
      <c r="B20" s="6">
        <f>COUNTIF(Swiggy_Orders_Data!$K$2:$K$108, $A20)</f>
        <v>1</v>
      </c>
      <c r="C20">
        <f t="shared" si="0"/>
        <v>21</v>
      </c>
    </row>
    <row r="21" spans="1:3">
      <c r="A21" s="6" t="str">
        <v>Domino's Pizza</v>
      </c>
      <c r="B21" s="6">
        <f>COUNTIF(Swiggy_Orders_Data!$K$2:$K$108, $A21)</f>
        <v>1</v>
      </c>
      <c r="C21">
        <f t="shared" si="0"/>
        <v>21</v>
      </c>
    </row>
    <row r="22" spans="1:3">
      <c r="A22" s="6" t="str">
        <v>The Belgian Waffle Co.</v>
      </c>
      <c r="B22" s="6">
        <f>COUNTIF(Swiggy_Orders_Data!$K$2:$K$108, $A22)</f>
        <v>1</v>
      </c>
      <c r="C22">
        <f t="shared" si="0"/>
        <v>21</v>
      </c>
    </row>
    <row r="23" spans="1:3">
      <c r="A23" s="6" t="str">
        <v>Paratha Envy</v>
      </c>
      <c r="B23" s="6">
        <f>COUNTIF(Swiggy_Orders_Data!$K$2:$K$108, $A23)</f>
        <v>3</v>
      </c>
      <c r="C23">
        <f t="shared" si="0"/>
        <v>11</v>
      </c>
    </row>
    <row r="24" spans="1:3">
      <c r="A24" s="6" t="str">
        <v>McDonald's</v>
      </c>
      <c r="B24" s="6">
        <f>COUNTIF(Swiggy_Orders_Data!$K$2:$K$108, $A24)</f>
        <v>1</v>
      </c>
      <c r="C24">
        <f t="shared" si="0"/>
        <v>21</v>
      </c>
    </row>
    <row r="25" spans="1:3">
      <c r="A25" s="6" t="str">
        <v>Burger Seigneur</v>
      </c>
      <c r="B25" s="6">
        <f>COUNTIF(Swiggy_Orders_Data!$K$2:$K$108, $A25)</f>
        <v>4</v>
      </c>
      <c r="C25">
        <f t="shared" si="0"/>
        <v>8</v>
      </c>
    </row>
    <row r="26" spans="1:3">
      <c r="A26" s="6" t="str">
        <v>Tharavadu family restaurant</v>
      </c>
      <c r="B26" s="6">
        <f>COUNTIF(Swiggy_Orders_Data!$K$2:$K$108, $A26)</f>
        <v>4</v>
      </c>
      <c r="C26">
        <f t="shared" si="0"/>
        <v>8</v>
      </c>
    </row>
    <row r="27" spans="1:3">
      <c r="A27" s="6" t="str">
        <v>The Best Thickshakes Co</v>
      </c>
      <c r="B27" s="6">
        <f>COUNTIF(Swiggy_Orders_Data!$K$2:$K$108, $A27)</f>
        <v>1</v>
      </c>
      <c r="C27">
        <f t="shared" si="0"/>
        <v>21</v>
      </c>
    </row>
    <row r="28" spans="1:3">
      <c r="A28" s="6" t="str">
        <v>Wow! Momo</v>
      </c>
      <c r="B28" s="6">
        <f>COUNTIF(Swiggy_Orders_Data!$K$2:$K$108, $A28)</f>
        <v>1</v>
      </c>
      <c r="C28">
        <f t="shared" si="0"/>
        <v>21</v>
      </c>
    </row>
    <row r="29" spans="1:3">
      <c r="A29" s="6" t="str">
        <v>Dosa Chicken &amp; Tiffins</v>
      </c>
      <c r="B29" s="6">
        <f>COUNTIF(Swiggy_Orders_Data!$K$2:$K$108, $A29)</f>
        <v>2</v>
      </c>
      <c r="C29">
        <f t="shared" si="0"/>
        <v>13</v>
      </c>
    </row>
    <row r="30" spans="1:3">
      <c r="A30" s="6" t="str">
        <v>The Himalayan Momo Company</v>
      </c>
      <c r="B30" s="6">
        <f>COUNTIF(Swiggy_Orders_Data!$K$2:$K$108, $A30)</f>
        <v>1</v>
      </c>
      <c r="C30">
        <f t="shared" si="0"/>
        <v>21</v>
      </c>
    </row>
    <row r="31" spans="1:3">
      <c r="A31" s="6" t="str">
        <v>Kairali Restaurant</v>
      </c>
      <c r="B31" s="6">
        <f>COUNTIF(Swiggy_Orders_Data!$K$2:$K$108, $A31)</f>
        <v>1</v>
      </c>
      <c r="C31">
        <f t="shared" si="0"/>
        <v>21</v>
      </c>
    </row>
    <row r="32" spans="1:3">
      <c r="A32" s="6" t="str">
        <v>Asha tiffins</v>
      </c>
      <c r="B32" s="6">
        <f>COUNTIF(Swiggy_Orders_Data!$K$2:$K$108, $A32)</f>
        <v>1</v>
      </c>
      <c r="C32">
        <f t="shared" si="0"/>
        <v>21</v>
      </c>
    </row>
    <row r="33" spans="1:3">
      <c r="A33" s="6" t="str">
        <v>Imperio Restaurant</v>
      </c>
      <c r="B33" s="6">
        <f>COUNTIF(Swiggy_Orders_Data!$K$2:$K$108, $A33)</f>
        <v>2</v>
      </c>
      <c r="C33">
        <f t="shared" si="0"/>
        <v>13</v>
      </c>
    </row>
    <row r="34" spans="1:3">
      <c r="A34" s="6" t="str">
        <v>HSR Freshcane Juice</v>
      </c>
      <c r="B34" s="6">
        <f>COUNTIF(Swiggy_Orders_Data!$K$2:$K$108, $A34)</f>
        <v>1</v>
      </c>
      <c r="C34">
        <f t="shared" si="0"/>
        <v>21</v>
      </c>
    </row>
    <row r="35" spans="1:3">
      <c r="A35" s="6" t="str">
        <v>Plan B</v>
      </c>
      <c r="B35" s="6">
        <f>COUNTIF(Swiggy_Orders_Data!$K$2:$K$108, $A35)</f>
        <v>2</v>
      </c>
      <c r="C35">
        <f t="shared" si="0"/>
        <v>13</v>
      </c>
    </row>
    <row r="36" spans="1:3">
      <c r="A36" s="6" t="str">
        <v>Drunken Monkey</v>
      </c>
      <c r="B36" s="6">
        <f>COUNTIF(Swiggy_Orders_Data!$K$2:$K$108, $A36)</f>
        <v>1</v>
      </c>
      <c r="C36">
        <f t="shared" si="0"/>
        <v>21</v>
      </c>
    </row>
    <row r="37" spans="1:3">
      <c r="A37" s="6" t="str">
        <v>Truffles</v>
      </c>
      <c r="B37" s="6">
        <f>COUNTIF(Swiggy_Orders_Data!$K$2:$K$108, $A37)</f>
        <v>2</v>
      </c>
      <c r="C37">
        <f t="shared" si="0"/>
        <v>13</v>
      </c>
    </row>
    <row r="38" spans="1:3">
      <c r="A38" s="6" t="str">
        <v>Istah - The Mediterranean Way</v>
      </c>
      <c r="B38" s="6">
        <f>COUNTIF(Swiggy_Orders_Data!$K$2:$K$108, $A38)</f>
        <v>1</v>
      </c>
      <c r="C38">
        <f t="shared" si="0"/>
        <v>21</v>
      </c>
    </row>
    <row r="39" spans="1:3">
      <c r="A39" s="6" t="str">
        <v>The Thick Shake Factory</v>
      </c>
      <c r="B39" s="6">
        <f>COUNTIF(Swiggy_Orders_Data!$K$2:$K$108, $A39)</f>
        <v>2</v>
      </c>
      <c r="C39">
        <f t="shared" si="0"/>
        <v>13</v>
      </c>
    </row>
    <row r="40" spans="1:3">
      <c r="A40" s="6" t="str">
        <v>Kerala Panoor Restaurant</v>
      </c>
      <c r="B40" s="6">
        <f>COUNTIF(Swiggy_Orders_Data!$K$2:$K$108, $A40)</f>
        <v>1</v>
      </c>
      <c r="C40">
        <f t="shared" si="0"/>
        <v>21</v>
      </c>
    </row>
    <row r="41" spans="1:3">
      <c r="A41" s="6" t="str">
        <v>FreshMenu</v>
      </c>
      <c r="B41" s="6">
        <f>COUNTIF(Swiggy_Orders_Data!$K$2:$K$108, $A41)</f>
        <v>1</v>
      </c>
      <c r="C41">
        <f t="shared" si="0"/>
        <v>21</v>
      </c>
    </row>
    <row r="42" spans="1:3">
      <c r="A42" s="6" t="str">
        <v>La Pino'z Pizza</v>
      </c>
      <c r="B42" s="6">
        <f>COUNTIF(Swiggy_Orders_Data!$K$2:$K$108, $A42)</f>
        <v>1</v>
      </c>
      <c r="C42">
        <f t="shared" si="0"/>
        <v>21</v>
      </c>
    </row>
    <row r="43" spans="1:3">
      <c r="A43" s="6" t="str">
        <v>Cafe Amudham</v>
      </c>
      <c r="B43" s="6">
        <f>COUNTIF(Swiggy_Orders_Data!$K$2:$K$108, $A43)</f>
        <v>2</v>
      </c>
      <c r="C43">
        <f t="shared" si="0"/>
        <v>13</v>
      </c>
    </row>
    <row r="44" spans="1:3">
      <c r="A44" s="6" t="str">
        <v>Table for Tous</v>
      </c>
      <c r="B44" s="6">
        <f>COUNTIF(Swiggy_Orders_Data!$K$2:$K$108, $A44)</f>
        <v>1</v>
      </c>
      <c r="C44">
        <f t="shared" si="0"/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ECB8-0877-41A5-8F01-8351DA00F9A2}">
  <dimension ref="A2:D35"/>
  <sheetViews>
    <sheetView zoomScale="80" zoomScaleNormal="80" workbookViewId="0">
      <selection activeCell="E12" sqref="E12"/>
    </sheetView>
  </sheetViews>
  <sheetFormatPr defaultRowHeight="13.8"/>
  <cols>
    <col min="1" max="1" width="9.59765625" customWidth="1"/>
    <col min="2" max="2" width="17.09765625" bestFit="1" customWidth="1"/>
    <col min="3" max="3" width="17.59765625" customWidth="1"/>
    <col min="4" max="4" width="15.3984375" bestFit="1" customWidth="1"/>
  </cols>
  <sheetData>
    <row r="2" spans="1:3">
      <c r="A2" s="41" t="s">
        <v>739</v>
      </c>
    </row>
    <row r="3" spans="1:3">
      <c r="B3" s="32" t="s">
        <v>719</v>
      </c>
      <c r="C3" t="s">
        <v>717</v>
      </c>
    </row>
    <row r="4" spans="1:3">
      <c r="B4" s="33" t="s">
        <v>96</v>
      </c>
      <c r="C4">
        <v>4</v>
      </c>
    </row>
    <row r="5" spans="1:3">
      <c r="B5" s="33" t="s">
        <v>173</v>
      </c>
      <c r="C5">
        <v>11</v>
      </c>
    </row>
    <row r="6" spans="1:3">
      <c r="B6" s="33" t="s">
        <v>362</v>
      </c>
      <c r="C6">
        <v>4</v>
      </c>
    </row>
    <row r="7" spans="1:3">
      <c r="B7" s="33" t="s">
        <v>644</v>
      </c>
      <c r="C7">
        <v>10</v>
      </c>
    </row>
    <row r="8" spans="1:3">
      <c r="B8" s="33" t="s">
        <v>268</v>
      </c>
      <c r="C8">
        <v>4</v>
      </c>
    </row>
    <row r="9" spans="1:3">
      <c r="B9" s="33" t="s">
        <v>645</v>
      </c>
      <c r="C9">
        <v>3</v>
      </c>
    </row>
    <row r="10" spans="1:3">
      <c r="B10" s="33" t="s">
        <v>370</v>
      </c>
      <c r="C10">
        <v>44</v>
      </c>
    </row>
    <row r="11" spans="1:3">
      <c r="B11" s="33" t="s">
        <v>480</v>
      </c>
      <c r="C11">
        <v>1</v>
      </c>
    </row>
    <row r="12" spans="1:3">
      <c r="B12" s="33" t="s">
        <v>60</v>
      </c>
      <c r="C12">
        <v>4</v>
      </c>
    </row>
    <row r="13" spans="1:3">
      <c r="B13" s="33" t="s">
        <v>42</v>
      </c>
      <c r="C13">
        <v>6</v>
      </c>
    </row>
    <row r="14" spans="1:3">
      <c r="B14" s="33" t="s">
        <v>236</v>
      </c>
      <c r="C14">
        <v>14</v>
      </c>
    </row>
    <row r="15" spans="1:3">
      <c r="B15" s="33" t="s">
        <v>128</v>
      </c>
      <c r="C15">
        <v>1</v>
      </c>
    </row>
    <row r="16" spans="1:3">
      <c r="B16" s="33" t="s">
        <v>248</v>
      </c>
      <c r="C16">
        <v>1</v>
      </c>
    </row>
    <row r="17" spans="1:4">
      <c r="B17" s="33" t="s">
        <v>718</v>
      </c>
      <c r="C17">
        <v>107</v>
      </c>
    </row>
    <row r="20" spans="1:4">
      <c r="A20" s="41" t="s">
        <v>740</v>
      </c>
    </row>
    <row r="21" spans="1:4">
      <c r="B21" s="34" t="s">
        <v>719</v>
      </c>
      <c r="C21" s="34" t="s">
        <v>720</v>
      </c>
      <c r="D21" s="6" t="s">
        <v>717</v>
      </c>
    </row>
    <row r="22" spans="1:4">
      <c r="B22" s="6" t="s">
        <v>96</v>
      </c>
      <c r="C22" s="6" t="s">
        <v>550</v>
      </c>
      <c r="D22" s="6">
        <v>2</v>
      </c>
    </row>
    <row r="23" spans="1:4">
      <c r="B23" s="6" t="s">
        <v>173</v>
      </c>
      <c r="C23" s="6" t="s">
        <v>605</v>
      </c>
      <c r="D23" s="6">
        <v>2</v>
      </c>
    </row>
    <row r="24" spans="1:4">
      <c r="B24" s="6" t="s">
        <v>362</v>
      </c>
      <c r="C24" s="6" t="s">
        <v>593</v>
      </c>
      <c r="D24" s="6">
        <v>3</v>
      </c>
    </row>
    <row r="25" spans="1:4">
      <c r="B25" s="6" t="s">
        <v>644</v>
      </c>
      <c r="C25" s="6" t="s">
        <v>539</v>
      </c>
      <c r="D25" s="6">
        <v>5</v>
      </c>
    </row>
    <row r="26" spans="1:4">
      <c r="B26" s="6" t="s">
        <v>268</v>
      </c>
      <c r="C26" s="6" t="s">
        <v>574</v>
      </c>
      <c r="D26" s="6">
        <v>2</v>
      </c>
    </row>
    <row r="27" spans="1:4">
      <c r="B27" s="6" t="s">
        <v>645</v>
      </c>
      <c r="C27" s="6" t="s">
        <v>589</v>
      </c>
      <c r="D27" s="6">
        <v>2</v>
      </c>
    </row>
    <row r="28" spans="1:4">
      <c r="B28" s="6" t="s">
        <v>370</v>
      </c>
      <c r="C28" s="6" t="s">
        <v>565</v>
      </c>
      <c r="D28" s="6">
        <v>6</v>
      </c>
    </row>
    <row r="29" spans="1:4">
      <c r="B29" s="6" t="s">
        <v>480</v>
      </c>
      <c r="C29" s="6" t="s">
        <v>626</v>
      </c>
      <c r="D29" s="6">
        <v>1</v>
      </c>
    </row>
    <row r="30" spans="1:4">
      <c r="B30" s="6" t="s">
        <v>60</v>
      </c>
      <c r="C30" s="6" t="s">
        <v>537</v>
      </c>
      <c r="D30" s="6">
        <v>1</v>
      </c>
    </row>
    <row r="31" spans="1:4">
      <c r="B31" s="6" t="s">
        <v>42</v>
      </c>
      <c r="C31" s="6" t="s">
        <v>533</v>
      </c>
      <c r="D31" s="6">
        <v>3</v>
      </c>
    </row>
    <row r="32" spans="1:4">
      <c r="B32" s="6" t="s">
        <v>236</v>
      </c>
      <c r="C32" s="6" t="s">
        <v>572</v>
      </c>
      <c r="D32" s="6">
        <v>5</v>
      </c>
    </row>
    <row r="33" spans="2:4">
      <c r="B33" s="6" t="s">
        <v>128</v>
      </c>
      <c r="C33" s="6" t="s">
        <v>553</v>
      </c>
      <c r="D33" s="6">
        <v>1</v>
      </c>
    </row>
    <row r="34" spans="2:4">
      <c r="B34" s="6" t="s">
        <v>248</v>
      </c>
      <c r="C34" s="6" t="s">
        <v>570</v>
      </c>
      <c r="D34" s="6">
        <v>1</v>
      </c>
    </row>
    <row r="35" spans="2:4">
      <c r="B35" s="6" t="s">
        <v>718</v>
      </c>
      <c r="C35" s="6"/>
      <c r="D35" s="6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C9AA-EC5F-478B-BC33-A28F7C6C3E70}">
  <dimension ref="A2:C12"/>
  <sheetViews>
    <sheetView zoomScaleNormal="100" workbookViewId="0">
      <selection activeCell="E9" sqref="E9"/>
    </sheetView>
  </sheetViews>
  <sheetFormatPr defaultRowHeight="13.8"/>
  <cols>
    <col min="1" max="1" width="10.69921875" customWidth="1"/>
    <col min="2" max="2" width="35" bestFit="1" customWidth="1"/>
    <col min="3" max="4" width="17.296875" bestFit="1" customWidth="1"/>
    <col min="5" max="106" width="17.3984375" bestFit="1" customWidth="1"/>
    <col min="107" max="107" width="9.8984375" bestFit="1" customWidth="1"/>
  </cols>
  <sheetData>
    <row r="2" spans="1:3" ht="15.6">
      <c r="A2" s="24" t="s">
        <v>738</v>
      </c>
      <c r="B2" s="19"/>
    </row>
    <row r="3" spans="1:3" ht="15">
      <c r="A3" s="19"/>
      <c r="B3" s="19"/>
    </row>
    <row r="6" spans="1:3">
      <c r="B6" s="32" t="s">
        <v>721</v>
      </c>
      <c r="C6" t="s">
        <v>744</v>
      </c>
    </row>
    <row r="7" spans="1:3">
      <c r="B7" s="33" t="s">
        <v>82</v>
      </c>
      <c r="C7">
        <v>3337</v>
      </c>
    </row>
    <row r="8" spans="1:3">
      <c r="B8" s="33" t="s">
        <v>462</v>
      </c>
      <c r="C8">
        <v>3274</v>
      </c>
    </row>
    <row r="9" spans="1:3">
      <c r="B9" s="33" t="s">
        <v>64</v>
      </c>
      <c r="C9">
        <v>3351</v>
      </c>
    </row>
    <row r="10" spans="1:3">
      <c r="B10" s="33" t="s">
        <v>211</v>
      </c>
      <c r="C10">
        <v>3463</v>
      </c>
    </row>
    <row r="11" spans="1:3">
      <c r="B11" s="33" t="s">
        <v>56</v>
      </c>
      <c r="C11">
        <v>3645</v>
      </c>
    </row>
    <row r="12" spans="1:3">
      <c r="B12" s="33" t="s">
        <v>718</v>
      </c>
      <c r="C12">
        <v>17070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B47D-0BFB-4653-9B9D-24D41649B959}">
  <dimension ref="A1:C125"/>
  <sheetViews>
    <sheetView zoomScale="90" zoomScaleNormal="90" workbookViewId="0">
      <selection activeCell="A9" sqref="A9"/>
    </sheetView>
  </sheetViews>
  <sheetFormatPr defaultRowHeight="13.8"/>
  <cols>
    <col min="1" max="1" width="36.09765625" customWidth="1"/>
    <col min="2" max="2" width="24.59765625" customWidth="1"/>
    <col min="3" max="3" width="11.09765625" bestFit="1" customWidth="1"/>
    <col min="7" max="7" width="14.19921875" customWidth="1"/>
    <col min="8" max="8" width="25.8984375" customWidth="1"/>
  </cols>
  <sheetData>
    <row r="1" spans="1:3" ht="15.6">
      <c r="A1" s="29"/>
    </row>
    <row r="2" spans="1:3" ht="15.6">
      <c r="A2" s="40" t="s">
        <v>736</v>
      </c>
      <c r="B2" s="5">
        <f>COUNTA(_xlfn.UNIQUE('Food Item Level Data'!$B$2:$B$171))</f>
        <v>110</v>
      </c>
    </row>
    <row r="3" spans="1:3" ht="15.6">
      <c r="A3" s="40" t="s">
        <v>737</v>
      </c>
      <c r="B3" s="32" t="s">
        <v>722</v>
      </c>
      <c r="C3" t="s">
        <v>717</v>
      </c>
    </row>
    <row r="4" spans="1:3">
      <c r="B4" s="33" t="s">
        <v>565</v>
      </c>
      <c r="C4">
        <v>6</v>
      </c>
    </row>
    <row r="5" spans="1:3">
      <c r="B5" s="33" t="s">
        <v>718</v>
      </c>
      <c r="C5">
        <v>6</v>
      </c>
    </row>
    <row r="9" spans="1:3">
      <c r="A9" s="30"/>
    </row>
    <row r="125" spans="1:1">
      <c r="A125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71C1-3FB8-476A-B605-3AAAE28E62A4}">
  <dimension ref="A2:C23"/>
  <sheetViews>
    <sheetView zoomScale="110" zoomScaleNormal="110" workbookViewId="0">
      <selection activeCell="C21" sqref="C21"/>
    </sheetView>
  </sheetViews>
  <sheetFormatPr defaultRowHeight="13.8"/>
  <cols>
    <col min="1" max="1" width="18" customWidth="1"/>
    <col min="2" max="2" width="11.19921875" customWidth="1"/>
    <col min="3" max="3" width="25" customWidth="1"/>
    <col min="4" max="4" width="23.09765625" customWidth="1"/>
  </cols>
  <sheetData>
    <row r="2" spans="1:3">
      <c r="A2" s="7" t="s">
        <v>663</v>
      </c>
    </row>
    <row r="3" spans="1:3">
      <c r="A3" s="32" t="s">
        <v>725</v>
      </c>
      <c r="B3" t="s">
        <v>717</v>
      </c>
    </row>
    <row r="4" spans="1:3">
      <c r="A4" s="33" t="s">
        <v>723</v>
      </c>
      <c r="B4">
        <v>102</v>
      </c>
    </row>
    <row r="5" spans="1:3">
      <c r="A5" s="33" t="s">
        <v>724</v>
      </c>
      <c r="B5">
        <v>68</v>
      </c>
    </row>
    <row r="6" spans="1:3">
      <c r="A6" s="33" t="s">
        <v>718</v>
      </c>
      <c r="B6">
        <v>170</v>
      </c>
    </row>
    <row r="7" spans="1:3">
      <c r="A7" s="33"/>
    </row>
    <row r="9" spans="1:3">
      <c r="A9" s="7" t="s">
        <v>662</v>
      </c>
    </row>
    <row r="10" spans="1:3">
      <c r="A10" s="32" t="s">
        <v>728</v>
      </c>
      <c r="B10" t="s">
        <v>717</v>
      </c>
    </row>
    <row r="11" spans="1:3">
      <c r="A11" s="33" t="s">
        <v>726</v>
      </c>
      <c r="B11" s="35">
        <v>0.56074766355140182</v>
      </c>
    </row>
    <row r="12" spans="1:3">
      <c r="A12" s="33" t="s">
        <v>727</v>
      </c>
      <c r="B12" s="35">
        <v>0.43925233644859812</v>
      </c>
    </row>
    <row r="13" spans="1:3">
      <c r="A13" s="33" t="s">
        <v>718</v>
      </c>
      <c r="B13" s="35">
        <v>1</v>
      </c>
    </row>
    <row r="14" spans="1:3">
      <c r="A14" s="33"/>
      <c r="B14" s="35"/>
    </row>
    <row r="16" spans="1:3">
      <c r="A16" s="7" t="s">
        <v>735</v>
      </c>
      <c r="C16" s="37">
        <f>COUNTIF(Swiggy_Orders_Data!$H$1:$H$108, "cancelled")/ COUNTA(Swiggy_Orders_Data!$A$2:$A$108)</f>
        <v>2.8037383177570093E-2</v>
      </c>
    </row>
    <row r="17" spans="1:3">
      <c r="A17" s="7" t="s">
        <v>729</v>
      </c>
      <c r="C17" s="38">
        <f>COUNTA(Swiggy_Orders_Data!$A$2:$A$108)</f>
        <v>107</v>
      </c>
    </row>
    <row r="18" spans="1:3">
      <c r="A18" s="7" t="s">
        <v>730</v>
      </c>
      <c r="C18" s="39">
        <f>SUMIFS(Swiggy_Orders_Data!$R$2:$R$108, Swiggy_Orders_Data!$H$2:$H$108, "Delivered")</f>
        <v>42064</v>
      </c>
    </row>
    <row r="19" spans="1:3">
      <c r="A19" s="7" t="s">
        <v>731</v>
      </c>
      <c r="C19" s="39">
        <f>AVERAGE(Swiggy_Orders_Data!$R$2:$R$108)</f>
        <v>410.87850467289718</v>
      </c>
    </row>
    <row r="20" spans="1:3">
      <c r="A20" s="7" t="s">
        <v>732</v>
      </c>
      <c r="C20" s="38" t="str">
        <f>'Restaurant Level Analysis'!P2</f>
        <v>Subway</v>
      </c>
    </row>
    <row r="21" spans="1:3">
      <c r="A21" s="7" t="s">
        <v>733</v>
      </c>
      <c r="C21" s="38" t="str">
        <f>'Food Items Analysis'!$B$4</f>
        <v>Single Lamb Cheese Burger</v>
      </c>
    </row>
    <row r="23" spans="1:3">
      <c r="A23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FADC-52F6-43FF-A1E7-64F62F52C02F}">
  <dimension ref="A1:P115"/>
  <sheetViews>
    <sheetView topLeftCell="A106" zoomScale="85" zoomScaleNormal="85" workbookViewId="0">
      <selection activeCell="K125" sqref="K125"/>
    </sheetView>
  </sheetViews>
  <sheetFormatPr defaultRowHeight="13.8"/>
  <cols>
    <col min="1" max="1" width="14" bestFit="1" customWidth="1"/>
    <col min="2" max="2" width="20.69921875" customWidth="1"/>
    <col min="7" max="7" width="11.296875" customWidth="1"/>
    <col min="8" max="8" width="11.3984375" bestFit="1" customWidth="1"/>
    <col min="11" max="11" width="14.69921875" customWidth="1"/>
    <col min="12" max="12" width="3.59765625" customWidth="1"/>
    <col min="13" max="13" width="3.5" customWidth="1"/>
    <col min="14" max="14" width="3.296875" customWidth="1"/>
    <col min="15" max="15" width="3.09765625" customWidth="1"/>
    <col min="16" max="16" width="4" customWidth="1"/>
  </cols>
  <sheetData>
    <row r="1" spans="1:16" ht="25.8" customHeight="1">
      <c r="A1" s="57" t="s">
        <v>734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4.4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15.6" customHeight="1">
      <c r="A3" s="68" t="s">
        <v>664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 spans="1:16" ht="15.6" customHeight="1" thickBot="1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3"/>
    </row>
    <row r="5" spans="1:16" ht="15.6">
      <c r="A5" s="58">
        <f>KPIs!$C$18</f>
        <v>42064</v>
      </c>
      <c r="B5" s="60">
        <f>KPIs!$C$17</f>
        <v>107</v>
      </c>
      <c r="C5" s="62">
        <f>KPIs!$C$19</f>
        <v>410.87850467289718</v>
      </c>
      <c r="D5" s="62"/>
      <c r="E5" s="62"/>
      <c r="F5" s="64" t="str">
        <f>KPIs!C20</f>
        <v>Subway</v>
      </c>
      <c r="G5" s="64"/>
      <c r="H5" s="64"/>
      <c r="I5" s="66" t="str">
        <f>KPIs!$C$21</f>
        <v>Single Lamb Cheese Burger</v>
      </c>
      <c r="J5" s="66"/>
      <c r="K5" s="66"/>
      <c r="L5" s="27"/>
      <c r="M5" s="27"/>
      <c r="N5" s="27"/>
      <c r="O5" s="27"/>
      <c r="P5" s="27"/>
    </row>
    <row r="6" spans="1:16" ht="15.6">
      <c r="A6" s="59"/>
      <c r="B6" s="61"/>
      <c r="C6" s="63"/>
      <c r="D6" s="63"/>
      <c r="E6" s="63"/>
      <c r="F6" s="65"/>
      <c r="G6" s="65"/>
      <c r="H6" s="65"/>
      <c r="I6" s="67"/>
      <c r="J6" s="67"/>
      <c r="K6" s="67"/>
      <c r="L6" s="27"/>
      <c r="M6" s="27"/>
      <c r="N6" s="27"/>
      <c r="O6" s="27"/>
      <c r="P6" s="27"/>
    </row>
    <row r="7" spans="1:16" ht="15.6">
      <c r="B7" s="51"/>
      <c r="C7" s="27"/>
      <c r="D7" s="27"/>
      <c r="E7" s="27"/>
      <c r="F7" s="52"/>
      <c r="G7" s="52"/>
      <c r="H7" s="52"/>
      <c r="I7" s="53"/>
      <c r="J7" s="53"/>
      <c r="K7" s="53"/>
      <c r="L7" s="27"/>
      <c r="M7" s="27"/>
      <c r="N7" s="27"/>
      <c r="O7" s="27"/>
      <c r="P7" s="27"/>
    </row>
    <row r="8" spans="1:16" ht="14.4" customHeight="1" thickBot="1">
      <c r="A8" s="54"/>
      <c r="B8" s="51"/>
      <c r="C8" s="27"/>
      <c r="D8" s="27"/>
      <c r="E8" s="27"/>
      <c r="F8" s="52"/>
      <c r="G8" s="52"/>
      <c r="H8" s="52"/>
      <c r="I8" s="53"/>
      <c r="J8" s="53"/>
      <c r="K8" s="53"/>
      <c r="L8" s="27"/>
      <c r="M8" s="27"/>
      <c r="N8" s="27"/>
      <c r="O8" s="27"/>
      <c r="P8" s="27"/>
    </row>
    <row r="9" spans="1:16">
      <c r="A9" s="74" t="s">
        <v>665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6"/>
    </row>
    <row r="10" spans="1:16" ht="14.4" thickBot="1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9"/>
    </row>
    <row r="11" spans="1:16">
      <c r="A11" s="3"/>
    </row>
    <row r="27" spans="1:16" ht="15.6" customHeight="1"/>
    <row r="28" spans="1:16" ht="13.8" customHeight="1"/>
    <row r="31" spans="1:16" ht="14.4" thickBot="1"/>
    <row r="32" spans="1:16">
      <c r="A32" s="74" t="s">
        <v>666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1"/>
    </row>
    <row r="33" spans="1:16" ht="14.4" thickBot="1">
      <c r="A33" s="82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4"/>
    </row>
    <row r="34" spans="1:16" ht="13.8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50" spans="1:16" ht="15.6" customHeight="1"/>
    <row r="53" spans="1:16" ht="14.4" thickBot="1"/>
    <row r="54" spans="1:16" ht="13.8" customHeight="1">
      <c r="A54" s="74" t="s">
        <v>667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1"/>
    </row>
    <row r="55" spans="1:16" ht="14.4" customHeight="1" thickBot="1">
      <c r="A55" s="82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4"/>
    </row>
    <row r="68" spans="1:16" ht="16.2" customHeight="1"/>
    <row r="71" spans="1:16" ht="14.4" thickBot="1"/>
    <row r="72" spans="1:16" ht="13.8" customHeight="1">
      <c r="A72" s="74" t="s">
        <v>668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1"/>
    </row>
    <row r="73" spans="1:16" ht="15.6" customHeight="1" thickBot="1">
      <c r="A73" s="82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4"/>
    </row>
    <row r="74" spans="1:16" ht="15.6" customHeight="1">
      <c r="A74" s="86">
        <f>AVERAGE(Swiggy_Orders_Data!$O$2:$O$108) / 60</f>
        <v>33.457320872274146</v>
      </c>
      <c r="B74" s="88">
        <f>AVERAGE(Swiggy_Orders_Data!$W$2:$W$108)</f>
        <v>2.9934579439252338</v>
      </c>
      <c r="C74" s="28"/>
      <c r="D74" s="85"/>
      <c r="E74" s="85"/>
      <c r="F74" s="85"/>
      <c r="G74" s="36"/>
      <c r="H74" s="28"/>
      <c r="I74" s="28"/>
      <c r="J74" s="28"/>
      <c r="K74" s="28"/>
      <c r="L74" s="28"/>
      <c r="M74" s="28"/>
      <c r="N74" s="28"/>
      <c r="O74" s="28"/>
      <c r="P74" s="28"/>
    </row>
    <row r="75" spans="1:16" ht="16.2" thickBot="1">
      <c r="A75" s="87"/>
      <c r="B75" s="8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</row>
    <row r="76" spans="1:16" ht="15.6">
      <c r="A76" s="49"/>
      <c r="B76" s="50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</row>
    <row r="77" spans="1:16" ht="16.2" thickBot="1">
      <c r="A77" s="49"/>
      <c r="B77" s="50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</row>
    <row r="78" spans="1:16" ht="13.8" customHeight="1">
      <c r="A78" s="74" t="s">
        <v>669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1"/>
    </row>
    <row r="79" spans="1:16" ht="14.4" customHeight="1" thickBot="1">
      <c r="A79" s="82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4"/>
    </row>
    <row r="93" spans="1:16" ht="14.4" thickBot="1"/>
    <row r="94" spans="1:16">
      <c r="A94" s="74" t="s">
        <v>743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1"/>
    </row>
    <row r="95" spans="1:16" ht="14.4" thickBot="1">
      <c r="A95" s="82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4"/>
    </row>
    <row r="113" spans="1:16" ht="14.4" thickBot="1"/>
    <row r="114" spans="1:16">
      <c r="A114" s="74" t="s">
        <v>751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1"/>
    </row>
    <row r="115" spans="1:16" ht="14.4" thickBo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4"/>
    </row>
  </sheetData>
  <mergeCells count="17">
    <mergeCell ref="A9:P10"/>
    <mergeCell ref="A32:P33"/>
    <mergeCell ref="D74:F74"/>
    <mergeCell ref="A74:A75"/>
    <mergeCell ref="A114:P115"/>
    <mergeCell ref="A54:P55"/>
    <mergeCell ref="A72:P73"/>
    <mergeCell ref="A78:P79"/>
    <mergeCell ref="A94:P95"/>
    <mergeCell ref="B74:B75"/>
    <mergeCell ref="A1:P2"/>
    <mergeCell ref="A5:A6"/>
    <mergeCell ref="B5:B6"/>
    <mergeCell ref="C5:E6"/>
    <mergeCell ref="F5:H6"/>
    <mergeCell ref="I5:K6"/>
    <mergeCell ref="A3:P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7A71-1841-4326-8E87-A627C2903F4D}">
  <dimension ref="A1:K11"/>
  <sheetViews>
    <sheetView workbookViewId="0">
      <selection activeCell="C17" sqref="C17"/>
    </sheetView>
  </sheetViews>
  <sheetFormatPr defaultRowHeight="13.8"/>
  <sheetData>
    <row r="1" spans="1:11">
      <c r="A1" s="92" t="s">
        <v>745</v>
      </c>
      <c r="B1" s="92"/>
    </row>
    <row r="2" spans="1:11">
      <c r="A2" s="56"/>
    </row>
    <row r="3" spans="1:11">
      <c r="A3" s="90" t="s">
        <v>746</v>
      </c>
      <c r="B3" s="90"/>
      <c r="C3" s="90"/>
      <c r="D3" s="90"/>
      <c r="E3" s="90"/>
      <c r="F3" s="90"/>
      <c r="G3" s="90"/>
      <c r="H3" s="90"/>
      <c r="I3" s="90"/>
      <c r="J3" s="90"/>
      <c r="K3" s="90"/>
    </row>
    <row r="4" spans="1:1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>
      <c r="A5" s="90" t="s">
        <v>747</v>
      </c>
      <c r="B5" s="90"/>
      <c r="C5" s="90"/>
      <c r="D5" s="90"/>
      <c r="E5" s="90"/>
      <c r="F5" s="90"/>
      <c r="G5" s="90"/>
      <c r="H5" s="90"/>
      <c r="I5" s="90"/>
      <c r="J5" s="90"/>
      <c r="K5" s="90"/>
    </row>
    <row r="6" spans="1:11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</row>
    <row r="7" spans="1:11">
      <c r="A7" s="90" t="s">
        <v>748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8" spans="1:11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>
      <c r="A9" s="90" t="s">
        <v>749</v>
      </c>
      <c r="B9" s="90"/>
      <c r="C9" s="90"/>
      <c r="D9" s="90"/>
      <c r="E9" s="90"/>
      <c r="F9" s="90"/>
      <c r="G9" s="90"/>
      <c r="H9" s="90"/>
      <c r="I9" s="90"/>
      <c r="J9" s="90"/>
      <c r="K9" s="90"/>
    </row>
    <row r="10" spans="1:11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1" spans="1:11">
      <c r="A11" s="90" t="s">
        <v>750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</row>
  </sheetData>
  <mergeCells count="10">
    <mergeCell ref="A1:B1"/>
    <mergeCell ref="A7:K7"/>
    <mergeCell ref="A9:K9"/>
    <mergeCell ref="A11:K11"/>
    <mergeCell ref="A3:K3"/>
    <mergeCell ref="A5:K5"/>
    <mergeCell ref="A4:K4"/>
    <mergeCell ref="A6:K6"/>
    <mergeCell ref="A8:K8"/>
    <mergeCell ref="A10:K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9C01-B829-4D0D-B4D5-B906FBC6D4C8}">
  <dimension ref="A1:D15"/>
  <sheetViews>
    <sheetView workbookViewId="0">
      <selection sqref="A1:D2"/>
    </sheetView>
  </sheetViews>
  <sheetFormatPr defaultRowHeight="13.8"/>
  <cols>
    <col min="1" max="1" width="10.3984375" customWidth="1"/>
    <col min="2" max="2" width="13.3984375" bestFit="1" customWidth="1"/>
  </cols>
  <sheetData>
    <row r="1" spans="1:4">
      <c r="A1" s="93" t="s">
        <v>765</v>
      </c>
      <c r="B1" s="94"/>
      <c r="C1" s="94"/>
      <c r="D1" s="95"/>
    </row>
    <row r="2" spans="1:4" ht="14.4" thickBot="1">
      <c r="A2" s="96"/>
      <c r="B2" s="97"/>
      <c r="C2" s="97"/>
      <c r="D2" s="98"/>
    </row>
    <row r="4" spans="1:4">
      <c r="B4" t="s">
        <v>763</v>
      </c>
      <c r="C4" t="s">
        <v>764</v>
      </c>
    </row>
    <row r="5" spans="1:4">
      <c r="B5" t="s">
        <v>752</v>
      </c>
      <c r="C5">
        <v>3</v>
      </c>
    </row>
    <row r="6" spans="1:4">
      <c r="B6" t="s">
        <v>753</v>
      </c>
      <c r="C6">
        <v>9</v>
      </c>
    </row>
    <row r="7" spans="1:4">
      <c r="B7" t="s">
        <v>754</v>
      </c>
      <c r="C7">
        <v>11</v>
      </c>
    </row>
    <row r="8" spans="1:4">
      <c r="B8" t="s">
        <v>755</v>
      </c>
      <c r="C8">
        <v>8</v>
      </c>
    </row>
    <row r="9" spans="1:4">
      <c r="B9" t="s">
        <v>756</v>
      </c>
      <c r="C9">
        <v>8</v>
      </c>
    </row>
    <row r="10" spans="1:4">
      <c r="B10" t="s">
        <v>757</v>
      </c>
      <c r="C10">
        <v>6</v>
      </c>
    </row>
    <row r="11" spans="1:4">
      <c r="B11" t="s">
        <v>758</v>
      </c>
      <c r="C11">
        <v>8</v>
      </c>
    </row>
    <row r="12" spans="1:4">
      <c r="B12" t="s">
        <v>759</v>
      </c>
      <c r="C12">
        <v>11</v>
      </c>
    </row>
    <row r="13" spans="1:4">
      <c r="B13" t="s">
        <v>760</v>
      </c>
      <c r="C13">
        <v>10</v>
      </c>
    </row>
    <row r="14" spans="1:4">
      <c r="B14" t="s">
        <v>761</v>
      </c>
      <c r="C14">
        <v>10</v>
      </c>
    </row>
    <row r="15" spans="1:4">
      <c r="B15" t="s">
        <v>762</v>
      </c>
      <c r="C15">
        <v>23</v>
      </c>
    </row>
  </sheetData>
  <mergeCells count="1">
    <mergeCell ref="A1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731F-C472-4337-915D-33EE663F1740}">
  <dimension ref="A1:D15"/>
  <sheetViews>
    <sheetView workbookViewId="0">
      <selection sqref="A1:D2"/>
    </sheetView>
  </sheetViews>
  <sheetFormatPr defaultRowHeight="13.8"/>
  <cols>
    <col min="2" max="2" width="10.3984375" customWidth="1"/>
    <col min="3" max="3" width="13.796875" customWidth="1"/>
  </cols>
  <sheetData>
    <row r="1" spans="1:4">
      <c r="A1" s="93" t="s">
        <v>766</v>
      </c>
      <c r="B1" s="94"/>
      <c r="C1" s="94"/>
      <c r="D1" s="95"/>
    </row>
    <row r="2" spans="1:4" ht="14.4" thickBot="1">
      <c r="A2" s="96"/>
      <c r="B2" s="97"/>
      <c r="C2" s="97"/>
      <c r="D2" s="98"/>
    </row>
    <row r="4" spans="1:4">
      <c r="B4" t="s">
        <v>763</v>
      </c>
      <c r="C4" t="s">
        <v>767</v>
      </c>
    </row>
    <row r="5" spans="1:4">
      <c r="B5" t="s">
        <v>752</v>
      </c>
      <c r="C5">
        <v>1492</v>
      </c>
    </row>
    <row r="6" spans="1:4">
      <c r="B6" t="s">
        <v>753</v>
      </c>
      <c r="C6">
        <v>3548</v>
      </c>
    </row>
    <row r="7" spans="1:4">
      <c r="B7" t="s">
        <v>754</v>
      </c>
      <c r="C7">
        <v>6319</v>
      </c>
    </row>
    <row r="8" spans="1:4">
      <c r="B8" t="s">
        <v>755</v>
      </c>
      <c r="C8">
        <v>1958</v>
      </c>
    </row>
    <row r="9" spans="1:4">
      <c r="B9" t="s">
        <v>756</v>
      </c>
      <c r="C9">
        <v>2402</v>
      </c>
    </row>
    <row r="10" spans="1:4">
      <c r="B10" t="s">
        <v>757</v>
      </c>
      <c r="C10">
        <v>2678</v>
      </c>
    </row>
    <row r="11" spans="1:4">
      <c r="B11" t="s">
        <v>758</v>
      </c>
      <c r="C11">
        <v>4160</v>
      </c>
    </row>
    <row r="12" spans="1:4">
      <c r="B12" t="s">
        <v>759</v>
      </c>
      <c r="C12">
        <v>3580</v>
      </c>
    </row>
    <row r="13" spans="1:4">
      <c r="B13" t="s">
        <v>760</v>
      </c>
      <c r="C13">
        <v>3680</v>
      </c>
    </row>
    <row r="14" spans="1:4">
      <c r="B14" t="s">
        <v>761</v>
      </c>
      <c r="C14">
        <v>3778</v>
      </c>
    </row>
    <row r="15" spans="1:4">
      <c r="B15" t="s">
        <v>762</v>
      </c>
      <c r="C15">
        <v>10369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E3B7-8389-464E-A4D0-9A881313F398}">
  <dimension ref="A1:D9"/>
  <sheetViews>
    <sheetView tabSelected="1" workbookViewId="0">
      <selection activeCell="F20" sqref="F20"/>
    </sheetView>
  </sheetViews>
  <sheetFormatPr defaultRowHeight="13.8"/>
  <cols>
    <col min="2" max="2" width="35" bestFit="1" customWidth="1"/>
    <col min="3" max="3" width="15.09765625" bestFit="1" customWidth="1"/>
    <col min="4" max="4" width="9.5" customWidth="1"/>
  </cols>
  <sheetData>
    <row r="1" spans="1:4">
      <c r="A1" s="93" t="s">
        <v>768</v>
      </c>
      <c r="B1" s="94"/>
      <c r="C1" s="94"/>
      <c r="D1" s="95"/>
    </row>
    <row r="2" spans="1:4" ht="14.4" thickBot="1">
      <c r="A2" s="96"/>
      <c r="B2" s="97"/>
      <c r="C2" s="97"/>
      <c r="D2" s="98"/>
    </row>
    <row r="4" spans="1:4">
      <c r="B4" t="s">
        <v>16</v>
      </c>
      <c r="C4" t="s">
        <v>767</v>
      </c>
    </row>
    <row r="5" spans="1:4">
      <c r="B5" t="s">
        <v>56</v>
      </c>
      <c r="C5">
        <v>3645</v>
      </c>
    </row>
    <row r="6" spans="1:4">
      <c r="B6" t="s">
        <v>211</v>
      </c>
      <c r="C6">
        <v>3463</v>
      </c>
    </row>
    <row r="7" spans="1:4">
      <c r="B7" t="s">
        <v>64</v>
      </c>
      <c r="C7">
        <v>3351</v>
      </c>
    </row>
    <row r="8" spans="1:4">
      <c r="B8" t="s">
        <v>82</v>
      </c>
      <c r="C8">
        <v>3337</v>
      </c>
    </row>
    <row r="9" spans="1:4">
      <c r="B9" t="s">
        <v>462</v>
      </c>
      <c r="C9">
        <v>3274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C572945-45CD-4C9C-A413-79AF54B0C0E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9AB8525E-E2D8-4308-9770-128EDCF77BF5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01DF3B90-0840-4D5F-B5A6-403959305A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Objective Requirement</vt:lpstr>
      <vt:lpstr>Swiggy_Orders_Data</vt:lpstr>
      <vt:lpstr>Restaurant Area Correction</vt:lpstr>
      <vt:lpstr>Food Item Level Data</vt:lpstr>
      <vt:lpstr>Restaurant Level Analysis</vt:lpstr>
      <vt:lpstr>Area Level Analysis</vt:lpstr>
      <vt:lpstr>Monthly Expenditure</vt:lpstr>
      <vt:lpstr>Food Items Analysis</vt:lpstr>
      <vt:lpstr>KPIs</vt:lpstr>
      <vt:lpstr>Dashboard</vt:lpstr>
      <vt:lpstr>Insights</vt:lpstr>
      <vt:lpstr>SQL_Monthly_Orders</vt:lpstr>
      <vt:lpstr>SQL_Monthly_Revenue</vt:lpstr>
      <vt:lpstr>SQL_Top_Restaurants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Soumyaj</dc:creator>
  <cp:lastModifiedBy>DELL</cp:lastModifiedBy>
  <dcterms:created xsi:type="dcterms:W3CDTF">2024-06-09T05:22:37Z</dcterms:created>
  <dcterms:modified xsi:type="dcterms:W3CDTF">2026-01-05T07:33:28Z</dcterms:modified>
</cp:coreProperties>
</file>